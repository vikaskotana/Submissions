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804600\Downloads\"/>
    </mc:Choice>
  </mc:AlternateContent>
  <xr:revisionPtr revIDLastSave="0" documentId="8_{8C67C265-4D8D-4336-BC73-19DF75EA5D21}" xr6:coauthVersionLast="47" xr6:coauthVersionMax="47" xr10:uidLastSave="{00000000-0000-0000-0000-000000000000}"/>
  <bookViews>
    <workbookView xWindow="-120" yWindow="-120" windowWidth="20730" windowHeight="11160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35" i="20"/>
  <c r="C34" i="20"/>
  <c r="C33" i="20"/>
  <c r="C32" i="20"/>
  <c r="C31" i="20"/>
  <c r="C30" i="20"/>
  <c r="C29" i="20"/>
  <c r="C28" i="20"/>
  <c r="C27" i="20"/>
  <c r="C26" i="20"/>
  <c r="C25" i="20"/>
  <c r="C24" i="20"/>
  <c r="F23" i="20"/>
  <c r="C23" i="20"/>
  <c r="H41" i="1"/>
  <c r="F27" i="18"/>
  <c r="E27" i="18"/>
  <c r="D27" i="18"/>
  <c r="C27" i="18"/>
  <c r="B27" i="18"/>
  <c r="F26" i="18"/>
  <c r="E26" i="18"/>
  <c r="D26" i="18"/>
  <c r="C26" i="18"/>
  <c r="B26" i="18"/>
  <c r="F25" i="18"/>
  <c r="E25" i="18"/>
  <c r="D25" i="18"/>
  <c r="C25" i="18"/>
  <c r="B25" i="18"/>
  <c r="F24" i="18"/>
  <c r="E24" i="18"/>
  <c r="D24" i="18"/>
  <c r="C24" i="18"/>
  <c r="B24" i="18"/>
  <c r="F23" i="18"/>
  <c r="E23" i="18"/>
  <c r="D23" i="18"/>
  <c r="C23" i="18"/>
  <c r="B23" i="18"/>
  <c r="F22" i="18"/>
  <c r="E22" i="18"/>
  <c r="D22" i="18"/>
  <c r="C22" i="18"/>
  <c r="B22" i="18"/>
  <c r="F21" i="18"/>
  <c r="E21" i="18"/>
  <c r="D21" i="18"/>
  <c r="C21" i="18"/>
  <c r="B21" i="18"/>
  <c r="F20" i="18"/>
  <c r="E20" i="18"/>
  <c r="D20" i="18"/>
  <c r="C20" i="18"/>
  <c r="B20" i="18"/>
  <c r="F19" i="18"/>
  <c r="E19" i="18"/>
  <c r="D19" i="18"/>
  <c r="C19" i="18"/>
  <c r="B19" i="18"/>
  <c r="F18" i="18"/>
  <c r="E18" i="18"/>
  <c r="D18" i="18"/>
  <c r="C18" i="18"/>
  <c r="B18" i="18"/>
  <c r="F17" i="18"/>
  <c r="E17" i="18"/>
  <c r="D17" i="18"/>
  <c r="C17" i="18"/>
  <c r="B17" i="18"/>
  <c r="F16" i="18"/>
  <c r="E16" i="18"/>
  <c r="D16" i="18"/>
  <c r="C16" i="18"/>
  <c r="B16" i="18"/>
  <c r="F15" i="18"/>
  <c r="E15" i="18"/>
  <c r="D15" i="18"/>
  <c r="C15" i="18"/>
  <c r="B15" i="18"/>
  <c r="F14" i="18"/>
  <c r="E14" i="18"/>
  <c r="D14" i="18"/>
  <c r="C14" i="18"/>
  <c r="B14" i="18"/>
  <c r="F13" i="18"/>
  <c r="E13" i="18"/>
  <c r="D13" i="18"/>
  <c r="C13" i="18"/>
  <c r="B13" i="18"/>
  <c r="F12" i="18"/>
  <c r="E12" i="18"/>
  <c r="E28" i="18" s="1"/>
  <c r="D12" i="18"/>
  <c r="C12" i="18"/>
  <c r="B12" i="18"/>
  <c r="F11" i="18"/>
  <c r="E11" i="18"/>
  <c r="D11" i="18"/>
  <c r="C11" i="18"/>
  <c r="B11" i="18"/>
  <c r="F10" i="18"/>
  <c r="E10" i="18"/>
  <c r="D10" i="18"/>
  <c r="C10" i="18"/>
  <c r="B10" i="18"/>
  <c r="F9" i="18"/>
  <c r="E9" i="18"/>
  <c r="D9" i="18"/>
  <c r="C9" i="18"/>
  <c r="B9" i="18"/>
  <c r="F8" i="18"/>
  <c r="E8" i="18"/>
  <c r="D8" i="18"/>
  <c r="C8" i="18"/>
  <c r="B8" i="18"/>
  <c r="B29" i="18" s="1"/>
  <c r="F7" i="18"/>
  <c r="F28" i="18" s="1"/>
  <c r="E7" i="18"/>
  <c r="D7" i="18"/>
  <c r="C7" i="18"/>
  <c r="B7" i="18"/>
  <c r="F6" i="18"/>
  <c r="F29" i="18" s="1"/>
  <c r="E6" i="18"/>
  <c r="E30" i="18" s="1"/>
  <c r="D6" i="18"/>
  <c r="D28" i="18" s="1"/>
  <c r="C6" i="18"/>
  <c r="C28" i="18" s="1"/>
  <c r="B6" i="18"/>
  <c r="B30" i="18" s="1"/>
  <c r="D29" i="18" l="1"/>
  <c r="D30" i="18"/>
  <c r="C29" i="18"/>
  <c r="B28" i="18"/>
  <c r="E29" i="18"/>
  <c r="C30" i="18"/>
  <c r="F30" i="18"/>
</calcChain>
</file>

<file path=xl/sharedStrings.xml><?xml version="1.0" encoding="utf-8"?>
<sst xmlns="http://schemas.openxmlformats.org/spreadsheetml/2006/main" count="407" uniqueCount="184">
  <si>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</si>
  <si>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</si>
  <si>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</si>
  <si>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</si>
  <si>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</si>
  <si>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</si>
  <si>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</si>
  <si>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</si>
  <si>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</si>
  <si>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</si>
  <si>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</si>
  <si>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</si>
  <si>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</si>
  <si>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</si>
  <si>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</si>
  <si>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</si>
  <si>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</si>
  <si>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</si>
  <si>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</si>
  <si>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</si>
  <si>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</si>
  <si>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</si>
  <si>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</si>
  <si>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</si>
  <si>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</si>
  <si>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</si>
  <si>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</si>
  <si>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</si>
  <si>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</si>
  <si>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</si>
  <si>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</si>
  <si>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</si>
  <si>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</si>
  <si>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</si>
  <si>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</si>
  <si>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</si>
  <si>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</si>
  <si>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</si>
  <si>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</si>
  <si>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</si>
  <si>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</si>
  <si>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</si>
  <si>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</si>
  <si>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</si>
  <si>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</si>
  <si>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</si>
  <si>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</si>
  <si>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</si>
  <si>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</si>
  <si>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</si>
  <si>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</si>
  <si>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</si>
  <si>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</si>
  <si>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</si>
  <si>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</si>
  <si>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</si>
  <si>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</si>
  <si>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</si>
  <si>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</si>
  <si>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</si>
  <si>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</si>
  <si>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</si>
  <si>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</si>
  <si>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</si>
  <si>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</si>
  <si>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</si>
  <si>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</si>
  <si>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</si>
  <si>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</si>
  <si>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</si>
  <si>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</si>
  <si>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</si>
  <si>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</si>
  <si>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</si>
  <si>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</si>
  <si>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</si>
  <si>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</si>
  <si>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</si>
  <si>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</si>
  <si>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</si>
  <si>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</si>
  <si>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</si>
  <si>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</si>
  <si>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</si>
  <si>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</si>
  <si>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</si>
  <si>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</si>
  <si>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</si>
  <si>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</si>
  <si>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</si>
  <si>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</si>
  <si>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</si>
  <si>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</si>
  <si>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</si>
  <si>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</si>
  <si>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</si>
  <si>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</si>
  <si>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</si>
  <si>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</si>
  <si>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</si>
  <si>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</si>
  <si>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</si>
  <si>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</si>
  <si>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</si>
  <si>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</si>
  <si>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</si>
  <si>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</si>
  <si>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</si>
  <si>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</si>
  <si>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</si>
  <si>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</si>
  <si>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</si>
  <si>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</si>
  <si>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</si>
  <si>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</si>
  <si>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</si>
  <si>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</si>
  <si>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</si>
  <si>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</si>
  <si>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</si>
  <si>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</si>
  <si>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</si>
  <si>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</si>
  <si>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</si>
  <si>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</si>
  <si>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</si>
  <si>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</si>
  <si>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</si>
  <si>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</si>
  <si>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</si>
  <si>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</si>
  <si>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</si>
  <si>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</si>
  <si>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</si>
  <si>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</si>
  <si>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</si>
  <si>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</si>
  <si>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</si>
  <si>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</si>
  <si>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</si>
  <si>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</si>
  <si>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</si>
  <si>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</si>
  <si>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</si>
  <si>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</si>
  <si>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</si>
  <si>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</si>
  <si>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</si>
  <si>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</si>
  <si>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</si>
  <si>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</si>
  <si>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</si>
  <si>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</si>
  <si>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</si>
  <si>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</si>
  <si>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</si>
  <si>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</si>
  <si>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</si>
  <si>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</si>
  <si>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</si>
  <si>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</si>
  <si>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</si>
  <si>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</si>
  <si>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</si>
  <si>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</si>
  <si>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</si>
  <si>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</si>
  <si>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</si>
  <si>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</si>
  <si>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</si>
  <si>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</si>
  <si>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</si>
  <si>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</si>
  <si>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</si>
  <si>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</si>
  <si>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</si>
  <si>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</si>
  <si>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</si>
  <si>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'=VLOOKUP(N14,A9:J18,MATCH(N11,A9:J9,0),0)''</t>
  </si>
  <si>
    <t>I used MATCH here to find the position, then use VLOOKUP with that position to retrieve the related value.</t>
  </si>
  <si>
    <t>"{=SUM(IFERROR(C12:C21,20))}"</t>
  </si>
  <si>
    <t>I used Sum function to calculate the sales From Table_A and for replacing #N/A I used IFERROR function and replace it with 20.</t>
  </si>
  <si>
    <t>I used text to column functionality here to separate values.</t>
  </si>
  <si>
    <t>Firstly I have selected the value from table -A then use Text to column functionality to sperate it using  Delimiter . I selected '-" as delimiter to sperate values to next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</si>
</sst>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0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  <xf numFmtId="14" fontId="3" fillId="0" borderId="0" xfId="0" applyNumberFormat="1" applyFont="1"/>
    <xf numFmtId="0" fontId="8" fillId="0" borderId="0" xfId="0" quotePrefix="1" applyFont="1"/>
    <xf numFmtId="0" fontId="3" fillId="0" borderId="0" xfId="0" applyFont="1" applyAlignment="1">
      <alignment vertical="center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804600\Downloads\excel-assessment%20(2).xlsm" TargetMode="External"/><Relationship Id="rId1" Type="http://schemas.openxmlformats.org/officeDocument/2006/relationships/externalLinkPath" Target="excel-assessment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804600\Downloads\excel-assessment%20(3).xlsm" TargetMode="External"/><Relationship Id="rId1" Type="http://schemas.openxmlformats.org/officeDocument/2006/relationships/externalLinkPath" Target="excel-assessment%20(3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Dataset"/>
      <sheetName val="Task_1"/>
      <sheetName val="Task_2"/>
      <sheetName val="Task_3"/>
      <sheetName val="Task_4"/>
      <sheetName val="Task_5"/>
    </sheetNames>
    <sheetDataSet>
      <sheetData sheetId="0"/>
      <sheetData sheetId="1">
        <row r="1">
          <cell r="A1" t="str">
            <v>name</v>
          </cell>
          <cell r="B1" t="str">
            <v>ID</v>
          </cell>
          <cell r="C1" t="str">
            <v>start_day</v>
          </cell>
          <cell r="D1" t="str">
            <v>start_time</v>
          </cell>
          <cell r="E1" t="str">
            <v>end_day</v>
          </cell>
          <cell r="F1" t="str">
            <v>end_time</v>
          </cell>
          <cell r="G1" t="str">
            <v>car1</v>
          </cell>
          <cell r="H1" t="str">
            <v>car2</v>
          </cell>
          <cell r="I1" t="str">
            <v>car3</v>
          </cell>
          <cell r="J1" t="str">
            <v>moto1</v>
          </cell>
          <cell r="K1" t="str">
            <v>moto2</v>
          </cell>
          <cell r="L1" t="str">
            <v>moto3</v>
          </cell>
          <cell r="M1" t="str">
            <v>bus1</v>
          </cell>
          <cell r="N1" t="str">
            <v>bus2</v>
          </cell>
          <cell r="O1" t="str">
            <v>bus3</v>
          </cell>
          <cell r="P1" t="str">
            <v>rv1</v>
          </cell>
          <cell r="Q1" t="str">
            <v>rv2</v>
          </cell>
          <cell r="R1" t="str">
            <v>rv3</v>
          </cell>
          <cell r="S1" t="str">
            <v>truck1</v>
          </cell>
          <cell r="T1" t="str">
            <v>truck2</v>
          </cell>
          <cell r="U1" t="str">
            <v>taxi1</v>
          </cell>
          <cell r="V1" t="str">
            <v>taxi2</v>
          </cell>
        </row>
        <row r="2">
          <cell r="A2" t="str">
            <v>Warrendale</v>
          </cell>
          <cell r="B2">
            <v>20000</v>
          </cell>
          <cell r="C2" t="str">
            <v>Monday</v>
          </cell>
          <cell r="D2">
            <v>0</v>
          </cell>
          <cell r="E2" t="str">
            <v>Sunday</v>
          </cell>
          <cell r="F2">
            <v>0.99998842592592596</v>
          </cell>
          <cell r="G2">
            <v>2.7</v>
          </cell>
          <cell r="H2">
            <v>3.6</v>
          </cell>
          <cell r="I2">
            <v>4.2</v>
          </cell>
          <cell r="J2">
            <v>-1</v>
          </cell>
          <cell r="K2">
            <v>-1</v>
          </cell>
          <cell r="L2">
            <v>-1</v>
          </cell>
          <cell r="M2">
            <v>5.3</v>
          </cell>
          <cell r="N2">
            <v>7.6</v>
          </cell>
          <cell r="O2">
            <v>8.9</v>
          </cell>
          <cell r="P2">
            <v>2.7</v>
          </cell>
          <cell r="Q2">
            <v>3.6</v>
          </cell>
          <cell r="R2">
            <v>4.2</v>
          </cell>
          <cell r="S2">
            <v>7.6</v>
          </cell>
          <cell r="T2">
            <v>8.9</v>
          </cell>
          <cell r="U2">
            <v>3.6</v>
          </cell>
          <cell r="V2">
            <v>4.2</v>
          </cell>
        </row>
        <row r="3">
          <cell r="A3" t="str">
            <v>Butler Valley</v>
          </cell>
          <cell r="B3">
            <v>20002</v>
          </cell>
          <cell r="C3" t="str">
            <v>Monday</v>
          </cell>
          <cell r="D3">
            <v>0</v>
          </cell>
          <cell r="E3" t="str">
            <v>Sunday</v>
          </cell>
          <cell r="F3">
            <v>0.99998842592592596</v>
          </cell>
          <cell r="G3">
            <v>2.7</v>
          </cell>
          <cell r="H3">
            <v>3.6</v>
          </cell>
          <cell r="I3">
            <v>4.2</v>
          </cell>
          <cell r="J3">
            <v>-1</v>
          </cell>
          <cell r="K3">
            <v>-1</v>
          </cell>
          <cell r="L3">
            <v>-1</v>
          </cell>
          <cell r="M3">
            <v>5.3</v>
          </cell>
          <cell r="N3">
            <v>7.6</v>
          </cell>
          <cell r="O3">
            <v>8.9</v>
          </cell>
          <cell r="P3">
            <v>2.7</v>
          </cell>
          <cell r="Q3">
            <v>3.6</v>
          </cell>
          <cell r="R3">
            <v>4.2</v>
          </cell>
          <cell r="S3">
            <v>7.6</v>
          </cell>
          <cell r="T3">
            <v>8.9</v>
          </cell>
          <cell r="U3">
            <v>3.6</v>
          </cell>
          <cell r="V3">
            <v>4.2</v>
          </cell>
        </row>
        <row r="4">
          <cell r="A4" t="str">
            <v>Allegheny Valley</v>
          </cell>
          <cell r="B4">
            <v>20004</v>
          </cell>
          <cell r="C4" t="str">
            <v>Monday</v>
          </cell>
          <cell r="D4">
            <v>0</v>
          </cell>
          <cell r="E4" t="str">
            <v>Sunday</v>
          </cell>
          <cell r="F4">
            <v>0.99998842592592596</v>
          </cell>
          <cell r="G4">
            <v>3.6</v>
          </cell>
          <cell r="H4">
            <v>5.4</v>
          </cell>
          <cell r="I4">
            <v>5.8</v>
          </cell>
          <cell r="J4">
            <v>-1</v>
          </cell>
          <cell r="K4">
            <v>-1</v>
          </cell>
          <cell r="L4">
            <v>-1</v>
          </cell>
          <cell r="M4">
            <v>7.6</v>
          </cell>
          <cell r="N4">
            <v>11.1</v>
          </cell>
          <cell r="O4">
            <v>12.2</v>
          </cell>
          <cell r="P4">
            <v>3.6</v>
          </cell>
          <cell r="Q4">
            <v>5.4</v>
          </cell>
          <cell r="R4">
            <v>5.8</v>
          </cell>
          <cell r="S4">
            <v>11.1</v>
          </cell>
          <cell r="T4">
            <v>12.2</v>
          </cell>
          <cell r="U4">
            <v>5.4</v>
          </cell>
          <cell r="V4">
            <v>5.8</v>
          </cell>
        </row>
        <row r="5">
          <cell r="A5" t="str">
            <v>Pittsburgh</v>
          </cell>
          <cell r="B5">
            <v>20006</v>
          </cell>
          <cell r="C5" t="str">
            <v>Monday</v>
          </cell>
          <cell r="D5">
            <v>0</v>
          </cell>
          <cell r="E5" t="str">
            <v>Sunday</v>
          </cell>
          <cell r="F5">
            <v>0.99998842592592596</v>
          </cell>
          <cell r="G5">
            <v>4.9000000000000004</v>
          </cell>
          <cell r="H5">
            <v>6.6</v>
          </cell>
          <cell r="I5">
            <v>8.1</v>
          </cell>
          <cell r="J5">
            <v>-1</v>
          </cell>
          <cell r="K5">
            <v>-1</v>
          </cell>
          <cell r="L5">
            <v>-1</v>
          </cell>
          <cell r="M5">
            <v>10</v>
          </cell>
          <cell r="N5">
            <v>13.3</v>
          </cell>
          <cell r="O5">
            <v>17</v>
          </cell>
          <cell r="P5">
            <v>4.9000000000000004</v>
          </cell>
          <cell r="Q5">
            <v>6.6</v>
          </cell>
          <cell r="R5">
            <v>8.1</v>
          </cell>
          <cell r="S5">
            <v>13.3</v>
          </cell>
          <cell r="T5">
            <v>17</v>
          </cell>
          <cell r="U5">
            <v>6.6</v>
          </cell>
          <cell r="V5">
            <v>8.1</v>
          </cell>
        </row>
        <row r="6">
          <cell r="A6" t="str">
            <v>Irwin</v>
          </cell>
          <cell r="B6">
            <v>20008</v>
          </cell>
          <cell r="C6" t="str">
            <v>Monday</v>
          </cell>
          <cell r="D6">
            <v>0</v>
          </cell>
          <cell r="E6" t="str">
            <v>Sunday</v>
          </cell>
          <cell r="F6">
            <v>0.99998842592592596</v>
          </cell>
          <cell r="G6">
            <v>6.6</v>
          </cell>
          <cell r="H6">
            <v>8.8000000000000007</v>
          </cell>
          <cell r="I6">
            <v>11</v>
          </cell>
          <cell r="J6">
            <v>-1</v>
          </cell>
          <cell r="K6">
            <v>-1</v>
          </cell>
          <cell r="L6">
            <v>-1</v>
          </cell>
          <cell r="M6">
            <v>13.3</v>
          </cell>
          <cell r="N6">
            <v>18</v>
          </cell>
          <cell r="O6">
            <v>22.5</v>
          </cell>
          <cell r="P6">
            <v>6.6</v>
          </cell>
          <cell r="Q6">
            <v>8.8000000000000007</v>
          </cell>
          <cell r="R6">
            <v>11</v>
          </cell>
          <cell r="S6">
            <v>18</v>
          </cell>
          <cell r="T6">
            <v>22.5</v>
          </cell>
          <cell r="U6">
            <v>8.8000000000000007</v>
          </cell>
          <cell r="V6">
            <v>11</v>
          </cell>
        </row>
        <row r="7">
          <cell r="A7" t="str">
            <v>New Stanton</v>
          </cell>
          <cell r="B7">
            <v>20010</v>
          </cell>
          <cell r="C7" t="str">
            <v>Monday</v>
          </cell>
          <cell r="D7">
            <v>0</v>
          </cell>
          <cell r="E7" t="str">
            <v>Sunday</v>
          </cell>
          <cell r="F7">
            <v>0.99998842592592596</v>
          </cell>
          <cell r="G7">
            <v>7.1</v>
          </cell>
          <cell r="H7">
            <v>10.4</v>
          </cell>
          <cell r="I7">
            <v>12.8</v>
          </cell>
          <cell r="J7">
            <v>-1</v>
          </cell>
          <cell r="K7">
            <v>-1</v>
          </cell>
          <cell r="L7">
            <v>-1</v>
          </cell>
          <cell r="M7">
            <v>14.4</v>
          </cell>
          <cell r="N7">
            <v>21.5</v>
          </cell>
          <cell r="O7">
            <v>26.1</v>
          </cell>
          <cell r="P7">
            <v>7.1</v>
          </cell>
          <cell r="Q7">
            <v>10.4</v>
          </cell>
          <cell r="R7">
            <v>12.8</v>
          </cell>
          <cell r="S7">
            <v>21.5</v>
          </cell>
          <cell r="T7">
            <v>26.1</v>
          </cell>
          <cell r="U7">
            <v>10.4</v>
          </cell>
          <cell r="V7">
            <v>12.8</v>
          </cell>
        </row>
        <row r="8">
          <cell r="A8" t="str">
            <v>Donegal</v>
          </cell>
          <cell r="B8">
            <v>20012</v>
          </cell>
          <cell r="C8" t="str">
            <v>Monday</v>
          </cell>
          <cell r="D8">
            <v>0</v>
          </cell>
          <cell r="E8" t="str">
            <v>Sunday</v>
          </cell>
          <cell r="F8">
            <v>0.99998842592592596</v>
          </cell>
          <cell r="G8">
            <v>9.4</v>
          </cell>
          <cell r="H8">
            <v>13.8</v>
          </cell>
          <cell r="I8">
            <v>16.100000000000001</v>
          </cell>
          <cell r="J8">
            <v>-1</v>
          </cell>
          <cell r="K8">
            <v>-1</v>
          </cell>
          <cell r="L8">
            <v>-1</v>
          </cell>
          <cell r="M8">
            <v>19.2</v>
          </cell>
          <cell r="N8">
            <v>28.3</v>
          </cell>
          <cell r="O8">
            <v>32.799999999999997</v>
          </cell>
          <cell r="P8">
            <v>9.4</v>
          </cell>
          <cell r="Q8">
            <v>13.8</v>
          </cell>
          <cell r="R8">
            <v>16.100000000000001</v>
          </cell>
          <cell r="S8">
            <v>28.3</v>
          </cell>
          <cell r="T8">
            <v>32.799999999999997</v>
          </cell>
          <cell r="U8">
            <v>13.8</v>
          </cell>
          <cell r="V8">
            <v>16.100000000000001</v>
          </cell>
        </row>
        <row r="9">
          <cell r="A9" t="str">
            <v>Somerset</v>
          </cell>
          <cell r="B9">
            <v>20014</v>
          </cell>
          <cell r="C9" t="str">
            <v>Monday</v>
          </cell>
          <cell r="D9">
            <v>0</v>
          </cell>
          <cell r="E9" t="str">
            <v>Sunday</v>
          </cell>
          <cell r="F9">
            <v>0.99998842592592596</v>
          </cell>
          <cell r="G9">
            <v>11.6</v>
          </cell>
          <cell r="H9">
            <v>17.3</v>
          </cell>
          <cell r="I9">
            <v>21.3</v>
          </cell>
          <cell r="J9">
            <v>-1</v>
          </cell>
          <cell r="K9">
            <v>-1</v>
          </cell>
          <cell r="L9">
            <v>-1</v>
          </cell>
          <cell r="M9">
            <v>23.6</v>
          </cell>
          <cell r="N9">
            <v>35.200000000000003</v>
          </cell>
          <cell r="O9">
            <v>43</v>
          </cell>
          <cell r="P9">
            <v>11.6</v>
          </cell>
          <cell r="Q9">
            <v>17.3</v>
          </cell>
          <cell r="R9">
            <v>21.3</v>
          </cell>
          <cell r="S9">
            <v>35.200000000000003</v>
          </cell>
          <cell r="T9">
            <v>43</v>
          </cell>
          <cell r="U9">
            <v>17.3</v>
          </cell>
          <cell r="V9">
            <v>21.3</v>
          </cell>
        </row>
        <row r="10">
          <cell r="A10" t="str">
            <v>Bedford</v>
          </cell>
          <cell r="B10">
            <v>20016</v>
          </cell>
          <cell r="C10" t="str">
            <v>Monday</v>
          </cell>
          <cell r="D10">
            <v>0</v>
          </cell>
          <cell r="E10" t="str">
            <v>Sunday</v>
          </cell>
          <cell r="F10">
            <v>0.99998842592592596</v>
          </cell>
          <cell r="G10">
            <v>16.100000000000001</v>
          </cell>
          <cell r="H10">
            <v>24.1</v>
          </cell>
          <cell r="I10">
            <v>29.1</v>
          </cell>
          <cell r="J10">
            <v>-1</v>
          </cell>
          <cell r="K10">
            <v>-1</v>
          </cell>
          <cell r="L10">
            <v>-1</v>
          </cell>
          <cell r="M10">
            <v>32.799999999999997</v>
          </cell>
          <cell r="N10">
            <v>49</v>
          </cell>
          <cell r="O10">
            <v>59</v>
          </cell>
          <cell r="P10">
            <v>16.100000000000001</v>
          </cell>
          <cell r="Q10">
            <v>24.1</v>
          </cell>
          <cell r="R10">
            <v>29.1</v>
          </cell>
          <cell r="S10">
            <v>49</v>
          </cell>
          <cell r="T10">
            <v>59</v>
          </cell>
          <cell r="U10">
            <v>24.1</v>
          </cell>
          <cell r="V10">
            <v>29.1</v>
          </cell>
        </row>
        <row r="11">
          <cell r="A11" t="str">
            <v>Breezewood</v>
          </cell>
          <cell r="B11">
            <v>20018</v>
          </cell>
          <cell r="C11" t="str">
            <v>Monday</v>
          </cell>
          <cell r="D11">
            <v>0</v>
          </cell>
          <cell r="E11" t="str">
            <v>Sunday</v>
          </cell>
          <cell r="F11">
            <v>0.99998842592592596</v>
          </cell>
          <cell r="G11">
            <v>18.399999999999999</v>
          </cell>
          <cell r="H11">
            <v>27.5</v>
          </cell>
          <cell r="I11">
            <v>33.799999999999997</v>
          </cell>
          <cell r="J11">
            <v>-1</v>
          </cell>
          <cell r="K11">
            <v>-1</v>
          </cell>
          <cell r="L11">
            <v>-1</v>
          </cell>
          <cell r="M11">
            <v>37.200000000000003</v>
          </cell>
          <cell r="N11">
            <v>55.6</v>
          </cell>
          <cell r="O11">
            <v>67.900000000000006</v>
          </cell>
          <cell r="P11">
            <v>18.399999999999999</v>
          </cell>
          <cell r="Q11">
            <v>27.5</v>
          </cell>
          <cell r="R11">
            <v>33.799999999999997</v>
          </cell>
          <cell r="S11">
            <v>55.6</v>
          </cell>
          <cell r="T11">
            <v>67.900000000000006</v>
          </cell>
          <cell r="U11">
            <v>27.5</v>
          </cell>
          <cell r="V11">
            <v>33.799999999999997</v>
          </cell>
        </row>
        <row r="12">
          <cell r="A12" t="str">
            <v>Fort Littleton</v>
          </cell>
          <cell r="B12">
            <v>20020</v>
          </cell>
          <cell r="C12" t="str">
            <v>Monday</v>
          </cell>
          <cell r="D12">
            <v>0</v>
          </cell>
          <cell r="E12" t="str">
            <v>Sunday</v>
          </cell>
          <cell r="F12">
            <v>0.99998842592592596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</row>
        <row r="13">
          <cell r="A13" t="str">
            <v>Willow Hill</v>
          </cell>
          <cell r="B13">
            <v>20022</v>
          </cell>
          <cell r="C13" t="str">
            <v>Monday</v>
          </cell>
          <cell r="D13">
            <v>0</v>
          </cell>
          <cell r="E13" t="str">
            <v>Sunday</v>
          </cell>
          <cell r="F13">
            <v>0.99998842592592596</v>
          </cell>
          <cell r="G13">
            <v>21.9</v>
          </cell>
          <cell r="H13">
            <v>32.1</v>
          </cell>
          <cell r="I13">
            <v>40.1</v>
          </cell>
          <cell r="J13">
            <v>-1</v>
          </cell>
          <cell r="K13">
            <v>-1</v>
          </cell>
          <cell r="L13">
            <v>-1</v>
          </cell>
          <cell r="M13">
            <v>42.3</v>
          </cell>
          <cell r="N13">
            <v>61.5</v>
          </cell>
          <cell r="O13">
            <v>76.599999999999994</v>
          </cell>
          <cell r="P13">
            <v>21.9</v>
          </cell>
          <cell r="Q13">
            <v>32.1</v>
          </cell>
          <cell r="R13">
            <v>40.1</v>
          </cell>
          <cell r="S13">
            <v>61.5</v>
          </cell>
          <cell r="T13">
            <v>76.599999999999994</v>
          </cell>
          <cell r="U13">
            <v>32.1</v>
          </cell>
          <cell r="V13">
            <v>40.1</v>
          </cell>
        </row>
        <row r="14">
          <cell r="A14" t="str">
            <v>Blue Mountain</v>
          </cell>
          <cell r="B14">
            <v>20024</v>
          </cell>
          <cell r="C14" t="str">
            <v>Monday</v>
          </cell>
          <cell r="D14">
            <v>0</v>
          </cell>
          <cell r="E14" t="str">
            <v>Sunday</v>
          </cell>
          <cell r="F14">
            <v>0.99998842592592596</v>
          </cell>
          <cell r="G14">
            <v>23.5</v>
          </cell>
          <cell r="H14">
            <v>34.700000000000003</v>
          </cell>
          <cell r="I14">
            <v>42.7</v>
          </cell>
          <cell r="J14">
            <v>-1</v>
          </cell>
          <cell r="K14">
            <v>-1</v>
          </cell>
          <cell r="L14">
            <v>-1</v>
          </cell>
          <cell r="M14">
            <v>47.7</v>
          </cell>
          <cell r="N14">
            <v>70.8</v>
          </cell>
          <cell r="O14">
            <v>86.6</v>
          </cell>
          <cell r="P14">
            <v>23.5</v>
          </cell>
          <cell r="Q14">
            <v>34.700000000000003</v>
          </cell>
          <cell r="R14">
            <v>42.7</v>
          </cell>
          <cell r="S14">
            <v>70.8</v>
          </cell>
          <cell r="T14">
            <v>86.6</v>
          </cell>
          <cell r="U14">
            <v>34.700000000000003</v>
          </cell>
          <cell r="V14">
            <v>42.7</v>
          </cell>
        </row>
        <row r="15">
          <cell r="A15" t="str">
            <v>Carlisle</v>
          </cell>
          <cell r="B15">
            <v>20026</v>
          </cell>
          <cell r="C15" t="str">
            <v>Monday</v>
          </cell>
          <cell r="D15">
            <v>0</v>
          </cell>
          <cell r="E15" t="str">
            <v>Sunday</v>
          </cell>
          <cell r="F15">
            <v>0.99998842592592596</v>
          </cell>
          <cell r="G15">
            <v>26.8</v>
          </cell>
          <cell r="H15">
            <v>39.299999999999997</v>
          </cell>
          <cell r="I15">
            <v>47.9</v>
          </cell>
          <cell r="J15">
            <v>-1</v>
          </cell>
          <cell r="K15">
            <v>-1</v>
          </cell>
          <cell r="L15">
            <v>-1</v>
          </cell>
          <cell r="M15">
            <v>54.6</v>
          </cell>
          <cell r="N15">
            <v>79.599999999999994</v>
          </cell>
          <cell r="O15">
            <v>96.8</v>
          </cell>
          <cell r="P15">
            <v>26.8</v>
          </cell>
          <cell r="Q15">
            <v>39.299999999999997</v>
          </cell>
          <cell r="R15">
            <v>47.9</v>
          </cell>
          <cell r="S15">
            <v>79.599999999999994</v>
          </cell>
          <cell r="T15">
            <v>96.8</v>
          </cell>
          <cell r="U15">
            <v>39.299999999999997</v>
          </cell>
          <cell r="V15">
            <v>47.9</v>
          </cell>
        </row>
        <row r="16">
          <cell r="A16" t="str">
            <v>Gettysburg Pike</v>
          </cell>
          <cell r="B16">
            <v>20028</v>
          </cell>
          <cell r="C16" t="str">
            <v>Monday</v>
          </cell>
          <cell r="D16">
            <v>0</v>
          </cell>
          <cell r="E16" t="str">
            <v>Sunday</v>
          </cell>
          <cell r="F16">
            <v>0.99998842592592596</v>
          </cell>
          <cell r="G16">
            <v>28</v>
          </cell>
          <cell r="H16">
            <v>41</v>
          </cell>
          <cell r="I16">
            <v>50.1</v>
          </cell>
          <cell r="J16">
            <v>-1</v>
          </cell>
          <cell r="K16">
            <v>-1</v>
          </cell>
          <cell r="L16">
            <v>-1</v>
          </cell>
          <cell r="M16">
            <v>56.7</v>
          </cell>
          <cell r="N16">
            <v>83.2</v>
          </cell>
          <cell r="O16">
            <v>101.3</v>
          </cell>
          <cell r="P16">
            <v>28</v>
          </cell>
          <cell r="Q16">
            <v>41</v>
          </cell>
          <cell r="R16">
            <v>50.1</v>
          </cell>
          <cell r="S16">
            <v>83.2</v>
          </cell>
          <cell r="T16">
            <v>101.3</v>
          </cell>
          <cell r="U16">
            <v>41</v>
          </cell>
          <cell r="V16">
            <v>50.1</v>
          </cell>
        </row>
        <row r="17">
          <cell r="A17" t="str">
            <v>Harrisburg West</v>
          </cell>
          <cell r="B17">
            <v>20030</v>
          </cell>
          <cell r="C17" t="str">
            <v>Monday</v>
          </cell>
          <cell r="D17">
            <v>0</v>
          </cell>
          <cell r="E17" t="str">
            <v>Sunday</v>
          </cell>
          <cell r="F17">
            <v>0.99998842592592596</v>
          </cell>
          <cell r="G17">
            <v>28.5</v>
          </cell>
          <cell r="H17">
            <v>42.3</v>
          </cell>
          <cell r="I17">
            <v>52.3</v>
          </cell>
          <cell r="J17">
            <v>-1</v>
          </cell>
          <cell r="K17">
            <v>-1</v>
          </cell>
          <cell r="L17">
            <v>-1</v>
          </cell>
          <cell r="M17">
            <v>58.3</v>
          </cell>
          <cell r="N17">
            <v>85.4</v>
          </cell>
          <cell r="O17">
            <v>106.1</v>
          </cell>
          <cell r="P17">
            <v>28.5</v>
          </cell>
          <cell r="Q17">
            <v>42.3</v>
          </cell>
          <cell r="R17">
            <v>52.3</v>
          </cell>
          <cell r="S17">
            <v>85.4</v>
          </cell>
          <cell r="T17">
            <v>106.1</v>
          </cell>
          <cell r="U17">
            <v>42.3</v>
          </cell>
          <cell r="V17">
            <v>52.3</v>
          </cell>
        </row>
        <row r="18">
          <cell r="A18" t="str">
            <v>Harrisburg East</v>
          </cell>
          <cell r="B18">
            <v>20032</v>
          </cell>
          <cell r="C18" t="str">
            <v>Monday</v>
          </cell>
          <cell r="D18">
            <v>0</v>
          </cell>
          <cell r="E18" t="str">
            <v>Sunday</v>
          </cell>
          <cell r="F18">
            <v>0.99998842592592596</v>
          </cell>
          <cell r="G18">
            <v>29.1</v>
          </cell>
          <cell r="H18">
            <v>43.3</v>
          </cell>
          <cell r="I18">
            <v>53.7</v>
          </cell>
          <cell r="J18">
            <v>-1</v>
          </cell>
          <cell r="K18">
            <v>-1</v>
          </cell>
          <cell r="L18">
            <v>-1</v>
          </cell>
          <cell r="M18">
            <v>59</v>
          </cell>
          <cell r="N18">
            <v>87.6</v>
          </cell>
          <cell r="O18">
            <v>108.8</v>
          </cell>
          <cell r="P18">
            <v>29.1</v>
          </cell>
          <cell r="Q18">
            <v>43.3</v>
          </cell>
          <cell r="R18">
            <v>53.7</v>
          </cell>
          <cell r="S18">
            <v>87.6</v>
          </cell>
          <cell r="T18">
            <v>108.8</v>
          </cell>
          <cell r="U18">
            <v>43.3</v>
          </cell>
          <cell r="V18">
            <v>53.7</v>
          </cell>
        </row>
        <row r="19">
          <cell r="A19" t="str">
            <v>Lebanon-Lancaster</v>
          </cell>
          <cell r="B19">
            <v>20034</v>
          </cell>
          <cell r="C19" t="str">
            <v>Monday</v>
          </cell>
          <cell r="D19">
            <v>0</v>
          </cell>
          <cell r="E19" t="str">
            <v>Sunday</v>
          </cell>
          <cell r="F19">
            <v>0.99998842592592596</v>
          </cell>
          <cell r="G19">
            <v>30.7</v>
          </cell>
          <cell r="H19">
            <v>45.5</v>
          </cell>
          <cell r="I19">
            <v>57</v>
          </cell>
          <cell r="J19">
            <v>-1</v>
          </cell>
          <cell r="K19">
            <v>-1</v>
          </cell>
          <cell r="L19">
            <v>-1</v>
          </cell>
          <cell r="M19">
            <v>62.5</v>
          </cell>
          <cell r="N19">
            <v>92.1</v>
          </cell>
          <cell r="O19">
            <v>115.1</v>
          </cell>
          <cell r="P19">
            <v>30.7</v>
          </cell>
          <cell r="Q19">
            <v>45.5</v>
          </cell>
          <cell r="R19">
            <v>57</v>
          </cell>
          <cell r="S19">
            <v>92.1</v>
          </cell>
          <cell r="T19">
            <v>115.1</v>
          </cell>
          <cell r="U19">
            <v>45.5</v>
          </cell>
          <cell r="V19">
            <v>57</v>
          </cell>
        </row>
        <row r="20">
          <cell r="A20" t="str">
            <v>Reading</v>
          </cell>
          <cell r="B20">
            <v>20036</v>
          </cell>
          <cell r="C20" t="str">
            <v>Monday</v>
          </cell>
          <cell r="D20">
            <v>0</v>
          </cell>
          <cell r="E20" t="str">
            <v>Sunday</v>
          </cell>
          <cell r="F20">
            <v>0.99998842592592596</v>
          </cell>
          <cell r="G20">
            <v>33.799999999999997</v>
          </cell>
          <cell r="H20">
            <v>50.1</v>
          </cell>
          <cell r="I20">
            <v>61.4</v>
          </cell>
          <cell r="J20">
            <v>-1</v>
          </cell>
          <cell r="K20">
            <v>-1</v>
          </cell>
          <cell r="L20">
            <v>-1</v>
          </cell>
          <cell r="M20">
            <v>67.900000000000006</v>
          </cell>
          <cell r="N20">
            <v>101.3</v>
          </cell>
          <cell r="O20">
            <v>124.4</v>
          </cell>
          <cell r="P20">
            <v>33.799999999999997</v>
          </cell>
          <cell r="Q20">
            <v>50.1</v>
          </cell>
          <cell r="R20">
            <v>61.4</v>
          </cell>
          <cell r="S20">
            <v>101.3</v>
          </cell>
          <cell r="T20">
            <v>124.4</v>
          </cell>
          <cell r="U20">
            <v>50.1</v>
          </cell>
          <cell r="V20">
            <v>61.4</v>
          </cell>
        </row>
        <row r="21">
          <cell r="A21" t="str">
            <v>Morgantown</v>
          </cell>
          <cell r="B21">
            <v>20038</v>
          </cell>
          <cell r="C21" t="str">
            <v>Monday</v>
          </cell>
          <cell r="D21">
            <v>0</v>
          </cell>
          <cell r="E21" t="str">
            <v>Sunday</v>
          </cell>
          <cell r="F21">
            <v>0.99998842592592596</v>
          </cell>
          <cell r="G21">
            <v>34.700000000000003</v>
          </cell>
          <cell r="H21">
            <v>52.3</v>
          </cell>
          <cell r="I21">
            <v>63.6</v>
          </cell>
          <cell r="J21">
            <v>-1</v>
          </cell>
          <cell r="K21">
            <v>-1</v>
          </cell>
          <cell r="L21">
            <v>-1</v>
          </cell>
          <cell r="M21">
            <v>70.8</v>
          </cell>
          <cell r="N21">
            <v>106.1</v>
          </cell>
          <cell r="O21">
            <v>128.6</v>
          </cell>
          <cell r="P21">
            <v>34.700000000000003</v>
          </cell>
          <cell r="Q21">
            <v>52.3</v>
          </cell>
          <cell r="R21">
            <v>63.6</v>
          </cell>
          <cell r="S21">
            <v>106.1</v>
          </cell>
          <cell r="T21">
            <v>128.6</v>
          </cell>
          <cell r="U21">
            <v>52.3</v>
          </cell>
          <cell r="V21">
            <v>63.6</v>
          </cell>
        </row>
        <row r="22">
          <cell r="A22" t="str">
            <v>Downingtown</v>
          </cell>
          <cell r="B22">
            <v>20040</v>
          </cell>
          <cell r="C22" t="str">
            <v>Monday</v>
          </cell>
          <cell r="D22">
            <v>0</v>
          </cell>
          <cell r="E22" t="str">
            <v>Sunday</v>
          </cell>
          <cell r="F22">
            <v>0.99998842592592596</v>
          </cell>
          <cell r="G22">
            <v>36.5</v>
          </cell>
          <cell r="H22">
            <v>54.6</v>
          </cell>
          <cell r="I22">
            <v>65.900000000000006</v>
          </cell>
          <cell r="J22">
            <v>-1</v>
          </cell>
          <cell r="K22">
            <v>-1</v>
          </cell>
          <cell r="L22">
            <v>-1</v>
          </cell>
          <cell r="M22">
            <v>73.900000000000006</v>
          </cell>
          <cell r="N22">
            <v>110.3</v>
          </cell>
          <cell r="O22">
            <v>133.4</v>
          </cell>
          <cell r="P22">
            <v>36.5</v>
          </cell>
          <cell r="Q22">
            <v>54.6</v>
          </cell>
          <cell r="R22">
            <v>65.900000000000006</v>
          </cell>
          <cell r="S22">
            <v>110.3</v>
          </cell>
          <cell r="T22">
            <v>133.4</v>
          </cell>
          <cell r="U22">
            <v>54.6</v>
          </cell>
          <cell r="V22">
            <v>65.900000000000006</v>
          </cell>
        </row>
        <row r="23">
          <cell r="A23" t="str">
            <v>S.R. 29</v>
          </cell>
          <cell r="B23">
            <v>20042</v>
          </cell>
          <cell r="C23" t="str">
            <v>Monday</v>
          </cell>
          <cell r="D23">
            <v>0</v>
          </cell>
          <cell r="E23" t="str">
            <v>Sunday</v>
          </cell>
          <cell r="F23">
            <v>0.99998842592592596</v>
          </cell>
          <cell r="G23">
            <v>38</v>
          </cell>
          <cell r="H23">
            <v>57.2</v>
          </cell>
          <cell r="I23">
            <v>68.7</v>
          </cell>
          <cell r="J23">
            <v>-1</v>
          </cell>
          <cell r="K23">
            <v>-1</v>
          </cell>
          <cell r="L23">
            <v>-1</v>
          </cell>
          <cell r="M23">
            <v>76.599999999999994</v>
          </cell>
          <cell r="N23">
            <v>115.5</v>
          </cell>
          <cell r="O23">
            <v>138.80000000000001</v>
          </cell>
          <cell r="P23">
            <v>38</v>
          </cell>
          <cell r="Q23">
            <v>57.2</v>
          </cell>
          <cell r="R23">
            <v>68.7</v>
          </cell>
          <cell r="S23">
            <v>115.5</v>
          </cell>
          <cell r="T23">
            <v>138.80000000000001</v>
          </cell>
          <cell r="U23">
            <v>57.2</v>
          </cell>
          <cell r="V23">
            <v>68.7</v>
          </cell>
        </row>
        <row r="24">
          <cell r="A24" t="str">
            <v>Valley Forge</v>
          </cell>
          <cell r="B24">
            <v>20044</v>
          </cell>
          <cell r="C24" t="str">
            <v>Monday</v>
          </cell>
          <cell r="D24">
            <v>0</v>
          </cell>
          <cell r="E24" t="str">
            <v>Sunday</v>
          </cell>
          <cell r="F24">
            <v>0.99998842592592596</v>
          </cell>
          <cell r="G24">
            <v>38.700000000000003</v>
          </cell>
          <cell r="H24">
            <v>59.2</v>
          </cell>
          <cell r="I24">
            <v>70.400000000000006</v>
          </cell>
          <cell r="J24">
            <v>-1</v>
          </cell>
          <cell r="K24">
            <v>-1</v>
          </cell>
          <cell r="L24">
            <v>-1</v>
          </cell>
          <cell r="M24">
            <v>78.599999999999994</v>
          </cell>
          <cell r="N24">
            <v>119.4</v>
          </cell>
          <cell r="O24">
            <v>142.5</v>
          </cell>
          <cell r="P24">
            <v>38.700000000000003</v>
          </cell>
          <cell r="Q24">
            <v>59.2</v>
          </cell>
          <cell r="R24">
            <v>70.400000000000006</v>
          </cell>
          <cell r="S24">
            <v>119.4</v>
          </cell>
          <cell r="T24">
            <v>142.5</v>
          </cell>
          <cell r="U24">
            <v>59.2</v>
          </cell>
          <cell r="V24">
            <v>70.400000000000006</v>
          </cell>
        </row>
        <row r="25">
          <cell r="A25" t="str">
            <v>Norristown</v>
          </cell>
          <cell r="B25">
            <v>20046</v>
          </cell>
          <cell r="C25" t="str">
            <v>Monday</v>
          </cell>
          <cell r="D25">
            <v>0</v>
          </cell>
          <cell r="E25" t="str">
            <v>Sunday</v>
          </cell>
          <cell r="F25">
            <v>0.99998842592592596</v>
          </cell>
          <cell r="G25">
            <v>40.1</v>
          </cell>
          <cell r="H25">
            <v>59.2</v>
          </cell>
          <cell r="I25">
            <v>72.8</v>
          </cell>
          <cell r="J25">
            <v>-1</v>
          </cell>
          <cell r="K25">
            <v>-1</v>
          </cell>
          <cell r="L25">
            <v>-1</v>
          </cell>
          <cell r="M25">
            <v>80.8</v>
          </cell>
          <cell r="N25">
            <v>119.4</v>
          </cell>
          <cell r="O25">
            <v>146.80000000000001</v>
          </cell>
          <cell r="P25">
            <v>40.1</v>
          </cell>
          <cell r="Q25">
            <v>59.2</v>
          </cell>
          <cell r="R25">
            <v>72.8</v>
          </cell>
          <cell r="S25">
            <v>119.4</v>
          </cell>
          <cell r="T25">
            <v>146.80000000000001</v>
          </cell>
          <cell r="U25">
            <v>59.2</v>
          </cell>
          <cell r="V25">
            <v>72.8</v>
          </cell>
        </row>
        <row r="26">
          <cell r="A26" t="str">
            <v>Fort Washington</v>
          </cell>
          <cell r="B26">
            <v>20048</v>
          </cell>
          <cell r="C26" t="str">
            <v>Monday</v>
          </cell>
          <cell r="D26">
            <v>0</v>
          </cell>
          <cell r="E26" t="str">
            <v>Sunday</v>
          </cell>
          <cell r="F26">
            <v>0.99998842592592596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</row>
        <row r="27">
          <cell r="A27" t="str">
            <v xml:space="preserve">Virginia Drive </v>
          </cell>
          <cell r="B27">
            <v>20050</v>
          </cell>
          <cell r="C27" t="str">
            <v>Monday</v>
          </cell>
          <cell r="D27">
            <v>0</v>
          </cell>
          <cell r="E27" t="str">
            <v>Sunday</v>
          </cell>
          <cell r="F27">
            <v>0.99998842592592596</v>
          </cell>
          <cell r="G27">
            <v>41.3</v>
          </cell>
          <cell r="H27">
            <v>61.4</v>
          </cell>
          <cell r="I27">
            <v>75</v>
          </cell>
          <cell r="J27">
            <v>-1</v>
          </cell>
          <cell r="K27">
            <v>-1</v>
          </cell>
          <cell r="L27">
            <v>-1</v>
          </cell>
          <cell r="M27">
            <v>83.5</v>
          </cell>
          <cell r="N27">
            <v>124.4</v>
          </cell>
          <cell r="O27">
            <v>151.5</v>
          </cell>
          <cell r="P27">
            <v>41.3</v>
          </cell>
          <cell r="Q27">
            <v>61.4</v>
          </cell>
          <cell r="R27">
            <v>75</v>
          </cell>
          <cell r="S27">
            <v>124.4</v>
          </cell>
          <cell r="T27">
            <v>151.5</v>
          </cell>
          <cell r="U27">
            <v>61.4</v>
          </cell>
          <cell r="V27">
            <v>75</v>
          </cell>
        </row>
        <row r="28">
          <cell r="A28" t="str">
            <v>Willow Grove</v>
          </cell>
          <cell r="B28">
            <v>20052</v>
          </cell>
          <cell r="C28" t="str">
            <v>Monday</v>
          </cell>
          <cell r="D28">
            <v>0</v>
          </cell>
          <cell r="E28" t="str">
            <v>Sunday</v>
          </cell>
          <cell r="F28">
            <v>0.99998842592592596</v>
          </cell>
          <cell r="G28">
            <v>42.3</v>
          </cell>
          <cell r="H28">
            <v>61.4</v>
          </cell>
          <cell r="I28">
            <v>75</v>
          </cell>
          <cell r="J28">
            <v>-1</v>
          </cell>
          <cell r="K28">
            <v>-1</v>
          </cell>
          <cell r="L28">
            <v>-1</v>
          </cell>
          <cell r="M28">
            <v>85.4</v>
          </cell>
          <cell r="N28">
            <v>124.4</v>
          </cell>
          <cell r="O28">
            <v>151.5</v>
          </cell>
          <cell r="P28">
            <v>42.3</v>
          </cell>
          <cell r="Q28">
            <v>61.4</v>
          </cell>
          <cell r="R28">
            <v>75</v>
          </cell>
          <cell r="S28">
            <v>124.4</v>
          </cell>
          <cell r="T28">
            <v>151.5</v>
          </cell>
          <cell r="U28">
            <v>61.4</v>
          </cell>
          <cell r="V28">
            <v>75</v>
          </cell>
        </row>
        <row r="29">
          <cell r="A29" t="str">
            <v>Bensalem</v>
          </cell>
          <cell r="B29">
            <v>20054</v>
          </cell>
          <cell r="C29" t="str">
            <v>Monday</v>
          </cell>
          <cell r="D29">
            <v>0</v>
          </cell>
          <cell r="E29" t="str">
            <v>Sunday</v>
          </cell>
          <cell r="F29">
            <v>0.99998842592592596</v>
          </cell>
          <cell r="G29">
            <v>43.3</v>
          </cell>
          <cell r="H29">
            <v>63.6</v>
          </cell>
          <cell r="I29">
            <v>77.2</v>
          </cell>
          <cell r="J29">
            <v>-1</v>
          </cell>
          <cell r="K29">
            <v>-1</v>
          </cell>
          <cell r="L29">
            <v>-1</v>
          </cell>
          <cell r="M29">
            <v>87.6</v>
          </cell>
          <cell r="N29">
            <v>128.6</v>
          </cell>
          <cell r="O29">
            <v>156.4</v>
          </cell>
          <cell r="P29">
            <v>43.3</v>
          </cell>
          <cell r="Q29">
            <v>63.6</v>
          </cell>
          <cell r="R29">
            <v>77.2</v>
          </cell>
          <cell r="S29">
            <v>128.6</v>
          </cell>
          <cell r="T29">
            <v>156.4</v>
          </cell>
          <cell r="U29">
            <v>63.6</v>
          </cell>
          <cell r="V29">
            <v>77.2</v>
          </cell>
        </row>
        <row r="30">
          <cell r="A30" t="str">
            <v xml:space="preserve">St. Rd </v>
          </cell>
          <cell r="B30">
            <v>20058</v>
          </cell>
          <cell r="C30" t="str">
            <v>Monday</v>
          </cell>
          <cell r="D30">
            <v>0</v>
          </cell>
          <cell r="E30" t="str">
            <v>Sunday</v>
          </cell>
          <cell r="F30">
            <v>0.99998842592592596</v>
          </cell>
          <cell r="G30">
            <v>-1</v>
          </cell>
          <cell r="H30">
            <v>-1</v>
          </cell>
          <cell r="I30">
            <v>-1</v>
          </cell>
          <cell r="J30">
            <v>-1</v>
          </cell>
          <cell r="K30">
            <v>-1</v>
          </cell>
          <cell r="L30">
            <v>-1</v>
          </cell>
          <cell r="M30">
            <v>-1</v>
          </cell>
          <cell r="N30">
            <v>-1</v>
          </cell>
          <cell r="O30">
            <v>-1</v>
          </cell>
          <cell r="P30">
            <v>-1</v>
          </cell>
          <cell r="Q30">
            <v>-1</v>
          </cell>
          <cell r="R30">
            <v>-1</v>
          </cell>
          <cell r="S30">
            <v>-1</v>
          </cell>
          <cell r="T30">
            <v>-1</v>
          </cell>
          <cell r="U30">
            <v>-1</v>
          </cell>
          <cell r="V30">
            <v>-1</v>
          </cell>
        </row>
        <row r="31">
          <cell r="A31" t="str">
            <v>Neshaminy Falls</v>
          </cell>
          <cell r="B31">
            <v>20060</v>
          </cell>
          <cell r="C31" t="str">
            <v>Monday</v>
          </cell>
          <cell r="D31">
            <v>0</v>
          </cell>
          <cell r="E31" t="str">
            <v>Sunday</v>
          </cell>
          <cell r="F31">
            <v>0.99998842592592596</v>
          </cell>
          <cell r="G31">
            <v>45</v>
          </cell>
          <cell r="H31">
            <v>65.900000000000006</v>
          </cell>
          <cell r="I31">
            <v>79.400000000000006</v>
          </cell>
          <cell r="J31">
            <v>-1</v>
          </cell>
          <cell r="K31">
            <v>-1</v>
          </cell>
          <cell r="L31">
            <v>-1</v>
          </cell>
          <cell r="M31">
            <v>90.9</v>
          </cell>
          <cell r="N31">
            <v>133.4</v>
          </cell>
          <cell r="O31">
            <v>160.9</v>
          </cell>
          <cell r="P31">
            <v>45</v>
          </cell>
          <cell r="Q31">
            <v>65.900000000000006</v>
          </cell>
          <cell r="R31">
            <v>79.400000000000006</v>
          </cell>
          <cell r="S31">
            <v>133.4</v>
          </cell>
          <cell r="T31">
            <v>160.9</v>
          </cell>
          <cell r="U31">
            <v>65.900000000000006</v>
          </cell>
          <cell r="V31">
            <v>79.400000000000006</v>
          </cell>
        </row>
        <row r="32">
          <cell r="A32" t="str">
            <v>Mid-County</v>
          </cell>
          <cell r="B32">
            <v>21000</v>
          </cell>
          <cell r="C32" t="str">
            <v>Monday</v>
          </cell>
          <cell r="D32">
            <v>0</v>
          </cell>
          <cell r="E32" t="str">
            <v>Sunday</v>
          </cell>
          <cell r="F32">
            <v>0.99998842592592596</v>
          </cell>
          <cell r="G32">
            <v>-1</v>
          </cell>
          <cell r="H32">
            <v>-1</v>
          </cell>
          <cell r="I32">
            <v>-1</v>
          </cell>
          <cell r="J32">
            <v>-1</v>
          </cell>
          <cell r="K32">
            <v>-1</v>
          </cell>
          <cell r="L32">
            <v>-1</v>
          </cell>
          <cell r="M32">
            <v>-1</v>
          </cell>
          <cell r="N32">
            <v>-1</v>
          </cell>
          <cell r="O32">
            <v>-1</v>
          </cell>
          <cell r="P32">
            <v>-1</v>
          </cell>
          <cell r="Q32">
            <v>-1</v>
          </cell>
          <cell r="R32">
            <v>-1</v>
          </cell>
          <cell r="S32">
            <v>-1</v>
          </cell>
          <cell r="T32">
            <v>-1</v>
          </cell>
          <cell r="U32">
            <v>-1</v>
          </cell>
          <cell r="V32">
            <v>-1</v>
          </cell>
        </row>
        <row r="33">
          <cell r="A33" t="str">
            <v>Lansdale</v>
          </cell>
          <cell r="B33">
            <v>21002</v>
          </cell>
          <cell r="C33" t="str">
            <v>Monday</v>
          </cell>
          <cell r="D33">
            <v>0</v>
          </cell>
          <cell r="E33" t="str">
            <v>Sunday</v>
          </cell>
          <cell r="F33">
            <v>0.99998842592592596</v>
          </cell>
          <cell r="G33">
            <v>41.5</v>
          </cell>
          <cell r="H33">
            <v>61.4</v>
          </cell>
          <cell r="I33">
            <v>75</v>
          </cell>
          <cell r="J33">
            <v>-1</v>
          </cell>
          <cell r="K33">
            <v>-1</v>
          </cell>
          <cell r="L33">
            <v>-1</v>
          </cell>
          <cell r="M33">
            <v>84.6</v>
          </cell>
          <cell r="N33">
            <v>124.4</v>
          </cell>
          <cell r="O33">
            <v>151.5</v>
          </cell>
          <cell r="P33">
            <v>41.5</v>
          </cell>
          <cell r="Q33">
            <v>61.4</v>
          </cell>
          <cell r="R33">
            <v>75</v>
          </cell>
          <cell r="S33">
            <v>124.4</v>
          </cell>
          <cell r="T33">
            <v>151.5</v>
          </cell>
          <cell r="U33">
            <v>61.4</v>
          </cell>
          <cell r="V33">
            <v>75</v>
          </cell>
        </row>
        <row r="34">
          <cell r="A34" t="str">
            <v>Quakertown</v>
          </cell>
          <cell r="B34">
            <v>21004</v>
          </cell>
          <cell r="C34" t="str">
            <v>Monday</v>
          </cell>
          <cell r="D34">
            <v>0</v>
          </cell>
          <cell r="E34" t="str">
            <v>Sunday</v>
          </cell>
          <cell r="F34">
            <v>0.99998842592592596</v>
          </cell>
          <cell r="G34">
            <v>43.3</v>
          </cell>
          <cell r="H34">
            <v>63.6</v>
          </cell>
          <cell r="I34">
            <v>79.400000000000006</v>
          </cell>
          <cell r="J34">
            <v>-1</v>
          </cell>
          <cell r="K34">
            <v>-1</v>
          </cell>
          <cell r="L34">
            <v>-1</v>
          </cell>
          <cell r="M34">
            <v>87.6</v>
          </cell>
          <cell r="N34">
            <v>128.6</v>
          </cell>
          <cell r="O34">
            <v>160.9</v>
          </cell>
          <cell r="P34">
            <v>43.3</v>
          </cell>
          <cell r="Q34">
            <v>63.6</v>
          </cell>
          <cell r="R34">
            <v>79.400000000000006</v>
          </cell>
          <cell r="S34">
            <v>128.6</v>
          </cell>
          <cell r="T34">
            <v>160.9</v>
          </cell>
          <cell r="U34">
            <v>63.6</v>
          </cell>
          <cell r="V34">
            <v>79.400000000000006</v>
          </cell>
        </row>
        <row r="35">
          <cell r="A35" t="str">
            <v>Lehigh Valley</v>
          </cell>
          <cell r="B35">
            <v>21006</v>
          </cell>
          <cell r="C35" t="str">
            <v>Monday</v>
          </cell>
          <cell r="D35">
            <v>0</v>
          </cell>
          <cell r="E35" t="str">
            <v>Sunday</v>
          </cell>
          <cell r="F35">
            <v>0.99998842592592596</v>
          </cell>
          <cell r="G35">
            <v>44.5</v>
          </cell>
          <cell r="H35">
            <v>65.900000000000006</v>
          </cell>
          <cell r="I35">
            <v>81.8</v>
          </cell>
          <cell r="J35">
            <v>-1</v>
          </cell>
          <cell r="K35">
            <v>-1</v>
          </cell>
          <cell r="L35">
            <v>-1</v>
          </cell>
          <cell r="M35">
            <v>89.9</v>
          </cell>
          <cell r="N35">
            <v>133.4</v>
          </cell>
          <cell r="O35">
            <v>165.3</v>
          </cell>
          <cell r="P35">
            <v>44.5</v>
          </cell>
          <cell r="Q35">
            <v>65.900000000000006</v>
          </cell>
          <cell r="R35">
            <v>81.8</v>
          </cell>
          <cell r="S35">
            <v>133.4</v>
          </cell>
          <cell r="T35">
            <v>165.3</v>
          </cell>
          <cell r="U35">
            <v>65.900000000000006</v>
          </cell>
          <cell r="V35">
            <v>81.8</v>
          </cell>
        </row>
        <row r="36">
          <cell r="A36" t="str">
            <v>Mahoning Valley</v>
          </cell>
          <cell r="B36">
            <v>21008</v>
          </cell>
          <cell r="C36" t="str">
            <v>Monday</v>
          </cell>
          <cell r="D36">
            <v>0</v>
          </cell>
          <cell r="E36" t="str">
            <v>Sunday</v>
          </cell>
          <cell r="F36">
            <v>0.99998842592592596</v>
          </cell>
          <cell r="G36">
            <v>47.3</v>
          </cell>
          <cell r="H36">
            <v>70.400000000000006</v>
          </cell>
          <cell r="I36">
            <v>86.4</v>
          </cell>
          <cell r="J36">
            <v>-1</v>
          </cell>
          <cell r="K36">
            <v>-1</v>
          </cell>
          <cell r="L36">
            <v>-1</v>
          </cell>
          <cell r="M36">
            <v>95.6</v>
          </cell>
          <cell r="N36">
            <v>142.5</v>
          </cell>
          <cell r="O36">
            <v>174.2</v>
          </cell>
          <cell r="P36">
            <v>47.3</v>
          </cell>
          <cell r="Q36">
            <v>70.400000000000006</v>
          </cell>
          <cell r="R36">
            <v>86.4</v>
          </cell>
          <cell r="S36">
            <v>142.5</v>
          </cell>
          <cell r="T36">
            <v>174.2</v>
          </cell>
          <cell r="U36">
            <v>70.400000000000006</v>
          </cell>
          <cell r="V36">
            <v>86.4</v>
          </cell>
        </row>
        <row r="37">
          <cell r="A37" t="str">
            <v>S.R. 903</v>
          </cell>
          <cell r="B37">
            <v>21010</v>
          </cell>
          <cell r="C37" t="str">
            <v>Monday</v>
          </cell>
          <cell r="D37">
            <v>0</v>
          </cell>
          <cell r="E37" t="str">
            <v>Sunday</v>
          </cell>
          <cell r="F37">
            <v>0.99998842592592596</v>
          </cell>
          <cell r="G37">
            <v>48.3</v>
          </cell>
          <cell r="H37">
            <v>72</v>
          </cell>
          <cell r="I37">
            <v>89</v>
          </cell>
          <cell r="J37">
            <v>-1</v>
          </cell>
          <cell r="K37">
            <v>-1</v>
          </cell>
          <cell r="L37">
            <v>-1</v>
          </cell>
          <cell r="M37">
            <v>97.9</v>
          </cell>
          <cell r="N37">
            <v>145.5</v>
          </cell>
          <cell r="O37">
            <v>179.8</v>
          </cell>
          <cell r="P37">
            <v>48.3</v>
          </cell>
          <cell r="Q37">
            <v>72</v>
          </cell>
          <cell r="R37">
            <v>89</v>
          </cell>
          <cell r="S37">
            <v>145.5</v>
          </cell>
          <cell r="T37">
            <v>179.8</v>
          </cell>
          <cell r="U37">
            <v>72</v>
          </cell>
          <cell r="V37">
            <v>89</v>
          </cell>
        </row>
        <row r="38">
          <cell r="A38" t="str">
            <v>Pocono</v>
          </cell>
          <cell r="B38">
            <v>21012</v>
          </cell>
          <cell r="C38" t="str">
            <v>Monday</v>
          </cell>
          <cell r="D38">
            <v>0</v>
          </cell>
          <cell r="E38" t="str">
            <v>Sunday</v>
          </cell>
          <cell r="F38">
            <v>0.99998842592592596</v>
          </cell>
          <cell r="G38">
            <v>49.1</v>
          </cell>
          <cell r="H38">
            <v>72.8</v>
          </cell>
          <cell r="I38">
            <v>90.9</v>
          </cell>
          <cell r="J38">
            <v>-1</v>
          </cell>
          <cell r="K38">
            <v>-1</v>
          </cell>
          <cell r="L38">
            <v>-1</v>
          </cell>
          <cell r="M38">
            <v>99.5</v>
          </cell>
          <cell r="N38">
            <v>146.80000000000001</v>
          </cell>
          <cell r="O38">
            <v>183.5</v>
          </cell>
          <cell r="P38">
            <v>49.1</v>
          </cell>
          <cell r="Q38">
            <v>72.8</v>
          </cell>
          <cell r="R38">
            <v>90.9</v>
          </cell>
          <cell r="S38">
            <v>146.80000000000001</v>
          </cell>
          <cell r="T38">
            <v>183.5</v>
          </cell>
          <cell r="U38">
            <v>72.8</v>
          </cell>
          <cell r="V38">
            <v>90.9</v>
          </cell>
        </row>
        <row r="39">
          <cell r="A39" t="str">
            <v>Wilkes-Barre</v>
          </cell>
          <cell r="B39">
            <v>21014</v>
          </cell>
          <cell r="C39" t="str">
            <v>Monday</v>
          </cell>
          <cell r="D39">
            <v>0</v>
          </cell>
          <cell r="E39" t="str">
            <v>Sunday</v>
          </cell>
          <cell r="F39">
            <v>0.99998842592592596</v>
          </cell>
          <cell r="G39">
            <v>50.6</v>
          </cell>
          <cell r="H39">
            <v>75</v>
          </cell>
          <cell r="I39">
            <v>93.1</v>
          </cell>
          <cell r="J39">
            <v>-1</v>
          </cell>
          <cell r="K39">
            <v>-1</v>
          </cell>
          <cell r="L39">
            <v>-1</v>
          </cell>
          <cell r="M39">
            <v>102.6</v>
          </cell>
          <cell r="N39">
            <v>151.5</v>
          </cell>
          <cell r="O39">
            <v>188.1</v>
          </cell>
          <cell r="P39">
            <v>50.6</v>
          </cell>
          <cell r="Q39">
            <v>75</v>
          </cell>
          <cell r="R39">
            <v>93.1</v>
          </cell>
          <cell r="S39">
            <v>151.5</v>
          </cell>
          <cell r="T39">
            <v>188.1</v>
          </cell>
          <cell r="U39">
            <v>75</v>
          </cell>
          <cell r="V39">
            <v>93.1</v>
          </cell>
        </row>
        <row r="40">
          <cell r="A40" t="str">
            <v>Wyoming Valley</v>
          </cell>
          <cell r="B40">
            <v>21016</v>
          </cell>
          <cell r="C40" t="str">
            <v>Monday</v>
          </cell>
          <cell r="D40">
            <v>0</v>
          </cell>
          <cell r="E40" t="str">
            <v>Sunday</v>
          </cell>
          <cell r="F40">
            <v>0.99998842592592596</v>
          </cell>
          <cell r="G40">
            <v>51.8</v>
          </cell>
          <cell r="H40">
            <v>77.2</v>
          </cell>
          <cell r="I40">
            <v>93.1</v>
          </cell>
          <cell r="J40">
            <v>-1</v>
          </cell>
          <cell r="K40">
            <v>-1</v>
          </cell>
          <cell r="L40">
            <v>-1</v>
          </cell>
          <cell r="M40">
            <v>104.5</v>
          </cell>
          <cell r="N40">
            <v>156.4</v>
          </cell>
          <cell r="O40">
            <v>188.1</v>
          </cell>
          <cell r="P40">
            <v>51.8</v>
          </cell>
          <cell r="Q40">
            <v>77.2</v>
          </cell>
          <cell r="R40">
            <v>93.1</v>
          </cell>
          <cell r="S40">
            <v>156.4</v>
          </cell>
          <cell r="T40">
            <v>188.1</v>
          </cell>
          <cell r="U40">
            <v>77.2</v>
          </cell>
          <cell r="V40">
            <v>93.1</v>
          </cell>
        </row>
        <row r="42">
          <cell r="H42">
            <v>1473.0000000000002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Dataset"/>
      <sheetName val="Task_1"/>
      <sheetName val="Task_2"/>
      <sheetName val="Task_3"/>
      <sheetName val="Task_4"/>
      <sheetName val="Task_5"/>
    </sheetNames>
    <sheetDataSet>
      <sheetData sheetId="0"/>
      <sheetData sheetId="1"/>
      <sheetData sheetId="2">
        <row r="5">
          <cell r="C5">
            <v>1473.0000000000002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5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6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selection activeCell="J18" sqref="J18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1" t="b">
        <f>[2]Task_1!C5=SUMIF(H2:H40,"&gt;20")</f>
        <v>1</v>
      </c>
    </row>
  </sheetData>
  <conditionalFormatting sqref="A42:A1048576">
    <cfRule type="duplicateValues" dxfId="14" priority="12"/>
  </conditionalFormatting>
  <conditionalFormatting sqref="B42:B1048576">
    <cfRule type="duplicateValues" dxfId="13" priority="11"/>
  </conditionalFormatting>
  <conditionalFormatting sqref="A1:A41">
    <cfRule type="duplicateValues" dxfId="4" priority="5"/>
  </conditionalFormatting>
  <conditionalFormatting sqref="B1:B41">
    <cfRule type="duplicateValues" dxfId="3" priority="4"/>
  </conditionalFormatting>
  <conditionalFormatting sqref="G2:W40">
    <cfRule type="cellIs" dxfId="2" priority="1" operator="equal">
      <formula>-1</formula>
    </cfRule>
    <cfRule type="cellIs" dxfId="1" priority="2" operator="equal">
      <formula>1</formula>
    </cfRule>
    <cfRule type="cellIs" dxfId="0" priority="3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F17" sqref="F17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5">
      <c r="A2" s="2"/>
      <c r="B2" s="5" t="s">
        <v>161</v>
      </c>
      <c r="C2" s="2"/>
    </row>
    <row r="3" spans="1:5" x14ac:dyDescent="0.25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5">
      <c r="A6" s="6">
        <v>4</v>
      </c>
      <c r="B6" s="2" t="s">
        <v>107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K9" sqref="K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165</v>
      </c>
    </row>
    <row r="2" spans="1:7" s="41" customFormat="1" ht="21" x14ac:dyDescent="0.35">
      <c r="B2" s="41" t="s">
        <v>162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163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IFERROR(VLOOKUP(A6, [1]Dataset!A:G, 7, FALSE), "")</f>
        <v>2.7</v>
      </c>
      <c r="C6" s="12">
        <f>IFERROR(VLOOKUP(A6, [1]Dataset!A:N, 14, FALSE), "")</f>
        <v>7.6</v>
      </c>
      <c r="D6" s="12">
        <f>IFERROR(VLOOKUP(A6, [1]Dataset!A:R, 18, FALSE), "")</f>
        <v>4.2</v>
      </c>
      <c r="E6" s="12">
        <f>IFERROR(VLOOKUP(A6, [1]Dataset!A:T, 20, FALSE), "")</f>
        <v>8.9</v>
      </c>
      <c r="F6" s="8">
        <f>IFERROR(VLOOKUP(A6, [1]Dataset!A:V, 22, FALSE), "")</f>
        <v>4.2</v>
      </c>
    </row>
    <row r="7" spans="1:7" ht="15" x14ac:dyDescent="0.25">
      <c r="A7" s="7" t="s">
        <v>4</v>
      </c>
      <c r="B7" s="12">
        <f>IFERROR(VLOOKUP(A7, [1]Dataset!A:G, 7, FALSE), "")</f>
        <v>2.7</v>
      </c>
      <c r="C7" s="12">
        <f>IFERROR(VLOOKUP(A7, [1]Dataset!A:N, 14, FALSE), "")</f>
        <v>7.6</v>
      </c>
      <c r="D7" s="12">
        <f>IFERROR(VLOOKUP(A7, [1]Dataset!A:R, 18, FALSE), "")</f>
        <v>4.2</v>
      </c>
      <c r="E7" s="12">
        <f>IFERROR(VLOOKUP(A7, [1]Dataset!A:T, 20, FALSE), "")</f>
        <v>8.9</v>
      </c>
      <c r="F7" s="8">
        <f>IFERROR(VLOOKUP(A7, [1]Dataset!A:V, 22, FALSE), "")</f>
        <v>4.2</v>
      </c>
    </row>
    <row r="8" spans="1:7" ht="15" x14ac:dyDescent="0.25">
      <c r="A8" s="7" t="s">
        <v>7</v>
      </c>
      <c r="B8" s="12">
        <f>IFERROR(VLOOKUP(A8, [1]Dataset!A:G, 7, FALSE), "")</f>
        <v>3.6</v>
      </c>
      <c r="C8" s="12">
        <f>IFERROR(VLOOKUP(A8, [1]Dataset!A:N, 14, FALSE), "")</f>
        <v>11.1</v>
      </c>
      <c r="D8" s="12">
        <f>IFERROR(VLOOKUP(A8, [1]Dataset!A:R, 18, FALSE), "")</f>
        <v>5.8</v>
      </c>
      <c r="E8" s="12">
        <f>IFERROR(VLOOKUP(A8, [1]Dataset!A:T, 20, FALSE), "")</f>
        <v>12.2</v>
      </c>
      <c r="F8" s="8">
        <f>IFERROR(VLOOKUP(A8, [1]Dataset!A:V, 22, FALSE), "")</f>
        <v>5.8</v>
      </c>
    </row>
    <row r="9" spans="1:7" ht="15" x14ac:dyDescent="0.25">
      <c r="A9" s="7" t="s">
        <v>8</v>
      </c>
      <c r="B9" s="12">
        <f>IFERROR(VLOOKUP(A9, [1]Dataset!A:G, 7, FALSE), "")</f>
        <v>4.9000000000000004</v>
      </c>
      <c r="C9" s="12">
        <f>IFERROR(VLOOKUP(A9, [1]Dataset!A:N, 14, FALSE), "")</f>
        <v>13.3</v>
      </c>
      <c r="D9" s="12">
        <f>IFERROR(VLOOKUP(A9, [1]Dataset!A:R, 18, FALSE), "")</f>
        <v>8.1</v>
      </c>
      <c r="E9" s="12">
        <f>IFERROR(VLOOKUP(A9, [1]Dataset!A:T, 20, FALSE), "")</f>
        <v>17</v>
      </c>
      <c r="F9" s="8">
        <f>IFERROR(VLOOKUP(A9, [1]Dataset!A:V, 22, FALSE), "")</f>
        <v>8.1</v>
      </c>
    </row>
    <row r="10" spans="1:7" ht="15" x14ac:dyDescent="0.25">
      <c r="A10" s="7" t="s">
        <v>11</v>
      </c>
      <c r="B10" s="12">
        <f>IFERROR(VLOOKUP(A10, [1]Dataset!A:G, 7, FALSE), "")</f>
        <v>9.4</v>
      </c>
      <c r="C10" s="12">
        <f>IFERROR(VLOOKUP(A10, [1]Dataset!A:N, 14, FALSE), "")</f>
        <v>28.3</v>
      </c>
      <c r="D10" s="12">
        <f>IFERROR(VLOOKUP(A10, [1]Dataset!A:R, 18, FALSE), "")</f>
        <v>16.100000000000001</v>
      </c>
      <c r="E10" s="12">
        <f>IFERROR(VLOOKUP(A10, [1]Dataset!A:T, 20, FALSE), "")</f>
        <v>32.799999999999997</v>
      </c>
      <c r="F10" s="8">
        <f>IFERROR(VLOOKUP(A10, [1]Dataset!A:V, 22, FALSE), "")</f>
        <v>16.100000000000001</v>
      </c>
    </row>
    <row r="11" spans="1:7" ht="15" x14ac:dyDescent="0.25">
      <c r="A11" s="7" t="s">
        <v>12</v>
      </c>
      <c r="B11" s="12">
        <f>IFERROR(VLOOKUP(A11, [1]Dataset!A:G, 7, FALSE), "")</f>
        <v>11.6</v>
      </c>
      <c r="C11" s="12">
        <f>IFERROR(VLOOKUP(A11, [1]Dataset!A:N, 14, FALSE), "")</f>
        <v>35.200000000000003</v>
      </c>
      <c r="D11" s="12">
        <f>IFERROR(VLOOKUP(A11, [1]Dataset!A:R, 18, FALSE), "")</f>
        <v>21.3</v>
      </c>
      <c r="E11" s="12">
        <f>IFERROR(VLOOKUP(A11, [1]Dataset!A:T, 20, FALSE), "")</f>
        <v>43</v>
      </c>
      <c r="F11" s="8">
        <f>IFERROR(VLOOKUP(A11, [1]Dataset!A:V, 22, FALSE), "")</f>
        <v>21.3</v>
      </c>
    </row>
    <row r="12" spans="1:7" ht="15" x14ac:dyDescent="0.25">
      <c r="A12" s="7" t="s">
        <v>14</v>
      </c>
      <c r="B12" s="12">
        <f>IFERROR(VLOOKUP(A12, [1]Dataset!A:G, 7, FALSE), "")</f>
        <v>18.399999999999999</v>
      </c>
      <c r="C12" s="12">
        <f>IFERROR(VLOOKUP(A12, [1]Dataset!A:N, 14, FALSE), "")</f>
        <v>55.6</v>
      </c>
      <c r="D12" s="12">
        <f>IFERROR(VLOOKUP(A12, [1]Dataset!A:R, 18, FALSE), "")</f>
        <v>33.799999999999997</v>
      </c>
      <c r="E12" s="12">
        <f>IFERROR(VLOOKUP(A12, [1]Dataset!A:T, 20, FALSE), "")</f>
        <v>67.900000000000006</v>
      </c>
      <c r="F12" s="8">
        <f>IFERROR(VLOOKUP(A12, [1]Dataset!A:V, 22, FALSE), "")</f>
        <v>33.799999999999997</v>
      </c>
    </row>
    <row r="13" spans="1:7" ht="15" x14ac:dyDescent="0.25">
      <c r="A13" s="7" t="s">
        <v>15</v>
      </c>
      <c r="B13" s="12">
        <f>IFERROR(VLOOKUP(A13, [1]Dataset!A:G, 7, FALSE), "")</f>
        <v>0</v>
      </c>
      <c r="C13" s="12">
        <f>IFERROR(VLOOKUP(A13, [1]Dataset!A:N, 14, FALSE), "")</f>
        <v>0</v>
      </c>
      <c r="D13" s="12">
        <f>IFERROR(VLOOKUP(A13, [1]Dataset!A:R, 18, FALSE), "")</f>
        <v>0</v>
      </c>
      <c r="E13" s="12">
        <f>IFERROR(VLOOKUP(A13, [1]Dataset!A:T, 20, FALSE), "")</f>
        <v>0</v>
      </c>
      <c r="F13" s="8">
        <f>IFERROR(VLOOKUP(A13, [1]Dataset!A:V, 22, FALSE), "")</f>
        <v>0</v>
      </c>
    </row>
    <row r="14" spans="1:7" ht="15" x14ac:dyDescent="0.25">
      <c r="A14" s="7" t="s">
        <v>16</v>
      </c>
      <c r="B14" s="12">
        <f>IFERROR(VLOOKUP(A14, [1]Dataset!A:G, 7, FALSE), "")</f>
        <v>21.9</v>
      </c>
      <c r="C14" s="12">
        <f>IFERROR(VLOOKUP(A14, [1]Dataset!A:N, 14, FALSE), "")</f>
        <v>61.5</v>
      </c>
      <c r="D14" s="12">
        <f>IFERROR(VLOOKUP(A14, [1]Dataset!A:R, 18, FALSE), "")</f>
        <v>40.1</v>
      </c>
      <c r="E14" s="12">
        <f>IFERROR(VLOOKUP(A14, [1]Dataset!A:T, 20, FALSE), "")</f>
        <v>76.599999999999994</v>
      </c>
      <c r="F14" s="8">
        <f>IFERROR(VLOOKUP(A14, [1]Dataset!A:V, 22, FALSE), "")</f>
        <v>40.1</v>
      </c>
    </row>
    <row r="15" spans="1:7" ht="15" x14ac:dyDescent="0.25">
      <c r="A15" s="7" t="s">
        <v>18</v>
      </c>
      <c r="B15" s="12">
        <f>IFERROR(VLOOKUP(A15, [1]Dataset!A:G, 7, FALSE), "")</f>
        <v>26.8</v>
      </c>
      <c r="C15" s="12">
        <f>IFERROR(VLOOKUP(A15, [1]Dataset!A:N, 14, FALSE), "")</f>
        <v>79.599999999999994</v>
      </c>
      <c r="D15" s="12">
        <f>IFERROR(VLOOKUP(A15, [1]Dataset!A:R, 18, FALSE), "")</f>
        <v>47.9</v>
      </c>
      <c r="E15" s="12">
        <f>IFERROR(VLOOKUP(A15, [1]Dataset!A:T, 20, FALSE), "")</f>
        <v>96.8</v>
      </c>
      <c r="F15" s="8">
        <f>IFERROR(VLOOKUP(A15, [1]Dataset!A:V, 22, FALSE), "")</f>
        <v>47.9</v>
      </c>
    </row>
    <row r="16" spans="1:7" ht="15" x14ac:dyDescent="0.25">
      <c r="A16" s="7" t="s">
        <v>20</v>
      </c>
      <c r="B16" s="12">
        <f>IFERROR(VLOOKUP(A16, [1]Dataset!A:G, 7, FALSE), "")</f>
        <v>28.5</v>
      </c>
      <c r="C16" s="12">
        <f>IFERROR(VLOOKUP(A16, [1]Dataset!A:N, 14, FALSE), "")</f>
        <v>85.4</v>
      </c>
      <c r="D16" s="12">
        <f>IFERROR(VLOOKUP(A16, [1]Dataset!A:R, 18, FALSE), "")</f>
        <v>52.3</v>
      </c>
      <c r="E16" s="12">
        <f>IFERROR(VLOOKUP(A16, [1]Dataset!A:T, 20, FALSE), "")</f>
        <v>106.1</v>
      </c>
      <c r="F16" s="8">
        <f>IFERROR(VLOOKUP(A16, [1]Dataset!A:V, 22, FALSE), "")</f>
        <v>52.3</v>
      </c>
    </row>
    <row r="17" spans="1:6" ht="15" x14ac:dyDescent="0.25">
      <c r="A17" s="7" t="s">
        <v>22</v>
      </c>
      <c r="B17" s="12">
        <f>IFERROR(VLOOKUP(A17, [1]Dataset!A:G, 7, FALSE), "")</f>
        <v>30.7</v>
      </c>
      <c r="C17" s="12">
        <f>IFERROR(VLOOKUP(A17, [1]Dataset!A:N, 14, FALSE), "")</f>
        <v>92.1</v>
      </c>
      <c r="D17" s="12">
        <f>IFERROR(VLOOKUP(A17, [1]Dataset!A:R, 18, FALSE), "")</f>
        <v>57</v>
      </c>
      <c r="E17" s="12">
        <f>IFERROR(VLOOKUP(A17, [1]Dataset!A:T, 20, FALSE), "")</f>
        <v>115.1</v>
      </c>
      <c r="F17" s="8">
        <f>IFERROR(VLOOKUP(A17, [1]Dataset!A:V, 22, FALSE), "")</f>
        <v>57</v>
      </c>
    </row>
    <row r="18" spans="1:6" ht="15" x14ac:dyDescent="0.25">
      <c r="A18" s="7" t="s">
        <v>23</v>
      </c>
      <c r="B18" s="12">
        <f>IFERROR(VLOOKUP(A18, [1]Dataset!A:G, 7, FALSE), "")</f>
        <v>33.799999999999997</v>
      </c>
      <c r="C18" s="12">
        <f>IFERROR(VLOOKUP(A18, [1]Dataset!A:N, 14, FALSE), "")</f>
        <v>101.3</v>
      </c>
      <c r="D18" s="12">
        <f>IFERROR(VLOOKUP(A18, [1]Dataset!A:R, 18, FALSE), "")</f>
        <v>61.4</v>
      </c>
      <c r="E18" s="12">
        <f>IFERROR(VLOOKUP(A18, [1]Dataset!A:T, 20, FALSE), "")</f>
        <v>124.4</v>
      </c>
      <c r="F18" s="8">
        <f>IFERROR(VLOOKUP(A18, [1]Dataset!A:V, 22, FALSE), "")</f>
        <v>61.4</v>
      </c>
    </row>
    <row r="19" spans="1:6" ht="15" x14ac:dyDescent="0.25">
      <c r="A19" s="7" t="s">
        <v>24</v>
      </c>
      <c r="B19" s="12">
        <f>IFERROR(VLOOKUP(A19, [1]Dataset!A:G, 7, FALSE), "")</f>
        <v>34.700000000000003</v>
      </c>
      <c r="C19" s="12">
        <f>IFERROR(VLOOKUP(A19, [1]Dataset!A:N, 14, FALSE), "")</f>
        <v>106.1</v>
      </c>
      <c r="D19" s="12">
        <f>IFERROR(VLOOKUP(A19, [1]Dataset!A:R, 18, FALSE), "")</f>
        <v>63.6</v>
      </c>
      <c r="E19" s="12">
        <f>IFERROR(VLOOKUP(A19, [1]Dataset!A:T, 20, FALSE), "")</f>
        <v>128.6</v>
      </c>
      <c r="F19" s="8">
        <f>IFERROR(VLOOKUP(A19, [1]Dataset!A:V, 22, FALSE), "")</f>
        <v>63.6</v>
      </c>
    </row>
    <row r="20" spans="1:6" ht="15" x14ac:dyDescent="0.25">
      <c r="A20" s="7" t="s">
        <v>28</v>
      </c>
      <c r="B20" s="12">
        <f>IFERROR(VLOOKUP(A20, [1]Dataset!A:G, 7, FALSE), "")</f>
        <v>0</v>
      </c>
      <c r="C20" s="12">
        <f>IFERROR(VLOOKUP(A20, [1]Dataset!A:N, 14, FALSE), "")</f>
        <v>0</v>
      </c>
      <c r="D20" s="12">
        <f>IFERROR(VLOOKUP(A20, [1]Dataset!A:R, 18, FALSE), "")</f>
        <v>0</v>
      </c>
      <c r="E20" s="12">
        <f>IFERROR(VLOOKUP(A20, [1]Dataset!A:T, 20, FALSE), "")</f>
        <v>0</v>
      </c>
      <c r="F20" s="8">
        <f>IFERROR(VLOOKUP(A20, [1]Dataset!A:V, 22, FALSE), "")</f>
        <v>0</v>
      </c>
    </row>
    <row r="21" spans="1:6" ht="15" x14ac:dyDescent="0.25">
      <c r="A21" s="7" t="s">
        <v>57</v>
      </c>
      <c r="B21" s="12">
        <f>IFERROR(VLOOKUP(A21, [1]Dataset!A:G, 7, FALSE), "")</f>
        <v>41.3</v>
      </c>
      <c r="C21" s="12">
        <f>IFERROR(VLOOKUP(A21, [1]Dataset!A:N, 14, FALSE), "")</f>
        <v>124.4</v>
      </c>
      <c r="D21" s="12">
        <f>IFERROR(VLOOKUP(A21, [1]Dataset!A:R, 18, FALSE), "")</f>
        <v>75</v>
      </c>
      <c r="E21" s="12">
        <f>IFERROR(VLOOKUP(A21, [1]Dataset!A:T, 20, FALSE), "")</f>
        <v>151.5</v>
      </c>
      <c r="F21" s="8">
        <f>IFERROR(VLOOKUP(A21, [1]Dataset!A:V, 22, FALSE), "")</f>
        <v>75</v>
      </c>
    </row>
    <row r="22" spans="1:6" ht="15" x14ac:dyDescent="0.25">
      <c r="A22" s="7" t="s">
        <v>58</v>
      </c>
      <c r="B22" s="12">
        <f>IFERROR(VLOOKUP(A22, [1]Dataset!A:G, 7, FALSE), "")</f>
        <v>-1</v>
      </c>
      <c r="C22" s="12">
        <f>IFERROR(VLOOKUP(A22, [1]Dataset!A:N, 14, FALSE), "")</f>
        <v>-1</v>
      </c>
      <c r="D22" s="12">
        <f>IFERROR(VLOOKUP(A22, [1]Dataset!A:R, 18, FALSE), "")</f>
        <v>-1</v>
      </c>
      <c r="E22" s="12">
        <f>IFERROR(VLOOKUP(A22, [1]Dataset!A:T, 20, FALSE), "")</f>
        <v>-1</v>
      </c>
      <c r="F22" s="8">
        <f>IFERROR(VLOOKUP(A22, [1]Dataset!A:V, 22, FALSE), "")</f>
        <v>-1</v>
      </c>
    </row>
    <row r="23" spans="1:6" ht="15" x14ac:dyDescent="0.25">
      <c r="A23" s="7" t="s">
        <v>31</v>
      </c>
      <c r="B23" s="12">
        <f>IFERROR(VLOOKUP(A23, [1]Dataset!A:G, 7, FALSE), "")</f>
        <v>45</v>
      </c>
      <c r="C23" s="12">
        <f>IFERROR(VLOOKUP(A23, [1]Dataset!A:N, 14, FALSE), "")</f>
        <v>133.4</v>
      </c>
      <c r="D23" s="12">
        <f>IFERROR(VLOOKUP(A23, [1]Dataset!A:R, 18, FALSE), "")</f>
        <v>79.400000000000006</v>
      </c>
      <c r="E23" s="12">
        <f>IFERROR(VLOOKUP(A23, [1]Dataset!A:T, 20, FALSE), "")</f>
        <v>160.9</v>
      </c>
      <c r="F23" s="8">
        <f>IFERROR(VLOOKUP(A23, [1]Dataset!A:V, 22, FALSE), "")</f>
        <v>79.400000000000006</v>
      </c>
    </row>
    <row r="24" spans="1:6" ht="15" x14ac:dyDescent="0.25">
      <c r="A24" s="7" t="s">
        <v>32</v>
      </c>
      <c r="B24" s="12">
        <f>IFERROR(VLOOKUP(A24, [1]Dataset!A:G, 7, FALSE), "")</f>
        <v>-1</v>
      </c>
      <c r="C24" s="12">
        <f>IFERROR(VLOOKUP(A24, [1]Dataset!A:N, 14, FALSE), "")</f>
        <v>-1</v>
      </c>
      <c r="D24" s="12">
        <f>IFERROR(VLOOKUP(A24, [1]Dataset!A:R, 18, FALSE), "")</f>
        <v>-1</v>
      </c>
      <c r="E24" s="12">
        <f>IFERROR(VLOOKUP(A24, [1]Dataset!A:T, 20, FALSE), "")</f>
        <v>-1</v>
      </c>
      <c r="F24" s="8">
        <f>IFERROR(VLOOKUP(A24, [1]Dataset!A:V, 22, FALSE), "")</f>
        <v>-1</v>
      </c>
    </row>
    <row r="25" spans="1:6" ht="15" x14ac:dyDescent="0.25">
      <c r="A25" s="7" t="s">
        <v>34</v>
      </c>
      <c r="B25" s="12">
        <f>IFERROR(VLOOKUP(A25, [1]Dataset!A:G, 7, FALSE), "")</f>
        <v>43.3</v>
      </c>
      <c r="C25" s="12">
        <f>IFERROR(VLOOKUP(A25, [1]Dataset!A:N, 14, FALSE), "")</f>
        <v>128.6</v>
      </c>
      <c r="D25" s="12">
        <f>IFERROR(VLOOKUP(A25, [1]Dataset!A:R, 18, FALSE), "")</f>
        <v>79.400000000000006</v>
      </c>
      <c r="E25" s="12">
        <f>IFERROR(VLOOKUP(A25, [1]Dataset!A:T, 20, FALSE), "")</f>
        <v>160.9</v>
      </c>
      <c r="F25" s="8">
        <f>IFERROR(VLOOKUP(A25, [1]Dataset!A:V, 22, FALSE), "")</f>
        <v>79.400000000000006</v>
      </c>
    </row>
    <row r="26" spans="1:6" ht="15" x14ac:dyDescent="0.25">
      <c r="A26" s="7" t="s">
        <v>37</v>
      </c>
      <c r="B26" s="12">
        <f>IFERROR(VLOOKUP(A26, [1]Dataset!A:G, 7, FALSE), "")</f>
        <v>49.1</v>
      </c>
      <c r="C26" s="12">
        <f>IFERROR(VLOOKUP(A26, [1]Dataset!A:N, 14, FALSE), "")</f>
        <v>146.80000000000001</v>
      </c>
      <c r="D26" s="12">
        <f>IFERROR(VLOOKUP(A26, [1]Dataset!A:R, 18, FALSE), "")</f>
        <v>90.9</v>
      </c>
      <c r="E26" s="12">
        <f>IFERROR(VLOOKUP(A26, [1]Dataset!A:T, 20, FALSE), "")</f>
        <v>183.5</v>
      </c>
      <c r="F26" s="8">
        <f>IFERROR(VLOOKUP(A26, [1]Dataset!A:V, 22, FALSE), "")</f>
        <v>90.9</v>
      </c>
    </row>
    <row r="27" spans="1:6" ht="15" x14ac:dyDescent="0.25">
      <c r="A27" s="7" t="s">
        <v>39</v>
      </c>
      <c r="B27" s="12">
        <f>IFERROR(VLOOKUP(A27, [1]Dataset!A:G, 7, FALSE), "")</f>
        <v>51.8</v>
      </c>
      <c r="C27" s="12">
        <f>IFERROR(VLOOKUP(A27, [1]Dataset!A:N, 14, FALSE), "")</f>
        <v>156.4</v>
      </c>
      <c r="D27" s="12">
        <f>IFERROR(VLOOKUP(A27, [1]Dataset!A:R, 18, FALSE), "")</f>
        <v>93.1</v>
      </c>
      <c r="E27" s="12">
        <f>IFERROR(VLOOKUP(A27, [1]Dataset!A:T, 20, FALSE), "")</f>
        <v>188.1</v>
      </c>
      <c r="F27" s="8">
        <f>IFERROR(VLOOKUP(A27, [1]Dataset!A:V, 22, FALSE), "")</f>
        <v>93.1</v>
      </c>
    </row>
    <row r="28" spans="1:6" ht="15" x14ac:dyDescent="0.25">
      <c r="A28" s="19" t="s">
        <v>82</v>
      </c>
      <c r="B28" s="31">
        <f>MAX(B6:B27)</f>
        <v>51.8</v>
      </c>
      <c r="C28" s="31">
        <f t="shared" ref="C28:F28" si="0">MAX(C6:C27)</f>
        <v>156.4</v>
      </c>
      <c r="D28" s="31">
        <f t="shared" si="0"/>
        <v>93.1</v>
      </c>
      <c r="E28" s="31">
        <f t="shared" si="0"/>
        <v>188.1</v>
      </c>
      <c r="F28" s="31">
        <f t="shared" si="0"/>
        <v>93.1</v>
      </c>
    </row>
    <row r="29" spans="1:6" ht="15" x14ac:dyDescent="0.25">
      <c r="A29" s="19" t="s">
        <v>83</v>
      </c>
      <c r="B29" s="31">
        <f>MIN(B6:B27)</f>
        <v>-1</v>
      </c>
      <c r="C29" s="31">
        <f t="shared" ref="C29:F29" si="1">MIN(C6:C27)</f>
        <v>-1</v>
      </c>
      <c r="D29" s="31">
        <f t="shared" si="1"/>
        <v>-1</v>
      </c>
      <c r="E29" s="31">
        <f t="shared" si="1"/>
        <v>-1</v>
      </c>
      <c r="F29" s="31">
        <f t="shared" si="1"/>
        <v>-1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K11" sqref="K11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175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152</v>
      </c>
    </row>
    <row r="5" spans="1:10" ht="18.75" x14ac:dyDescent="0.3">
      <c r="A5" s="43" t="s">
        <v>53</v>
      </c>
      <c r="B5" s="1" t="s">
        <v>182</v>
      </c>
    </row>
    <row r="6" spans="1:10" ht="19.899999999999999" customHeight="1" x14ac:dyDescent="0.3">
      <c r="A6" s="43" t="s">
        <v>154</v>
      </c>
      <c r="B6" s="49" t="s">
        <v>183</v>
      </c>
    </row>
    <row r="7" spans="1:10" ht="18.75" x14ac:dyDescent="0.3">
      <c r="A7" s="43"/>
      <c r="B7" s="40"/>
    </row>
    <row r="9" spans="1:10" ht="23.25" x14ac:dyDescent="0.35">
      <c r="A9" s="18" t="s">
        <v>166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163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122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123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124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125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126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127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128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129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130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131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132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133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134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135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136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137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138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139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140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141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142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143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144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145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146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147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148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149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150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151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113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114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115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116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117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118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119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120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121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5" style="2" bestFit="1" customWidth="1"/>
    <col min="7" max="8" width="14.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5" style="2" bestFit="1" customWidth="1"/>
    <col min="14" max="14" width="11" style="2" bestFit="1" customWidth="1"/>
    <col min="15" max="15" width="8" style="2" bestFit="1" customWidth="1"/>
    <col min="16" max="17" width="12.5" style="2" bestFit="1" customWidth="1"/>
    <col min="18" max="18" width="24.1640625" style="2" bestFit="1" customWidth="1"/>
    <col min="19" max="19" width="12.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168</v>
      </c>
    </row>
    <row r="2" spans="1:3" ht="18.75" x14ac:dyDescent="0.3">
      <c r="B2" s="40" t="s">
        <v>167</v>
      </c>
    </row>
    <row r="5" spans="1:3" ht="15" x14ac:dyDescent="0.25">
      <c r="B5" s="1" t="s">
        <v>152</v>
      </c>
    </row>
    <row r="6" spans="1:3" ht="15" x14ac:dyDescent="0.25">
      <c r="A6" s="3" t="s">
        <v>53</v>
      </c>
      <c r="B6" s="1" t="s">
        <v>180</v>
      </c>
    </row>
    <row r="7" spans="1:3" ht="15" x14ac:dyDescent="0.25">
      <c r="A7" s="3" t="s">
        <v>154</v>
      </c>
      <c r="B7" s="1" t="s">
        <v>181</v>
      </c>
    </row>
    <row r="10" spans="1:3" ht="23.25" x14ac:dyDescent="0.35">
      <c r="A10" s="18" t="s">
        <v>163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155</v>
      </c>
      <c r="C17" s="17">
        <v>150</v>
      </c>
    </row>
    <row r="18" spans="1:3" ht="15" x14ac:dyDescent="0.25">
      <c r="A18" s="32">
        <v>44933</v>
      </c>
      <c r="B18" s="17" t="s">
        <v>156</v>
      </c>
      <c r="C18" s="17">
        <v>80</v>
      </c>
    </row>
    <row r="19" spans="1:3" ht="15" x14ac:dyDescent="0.25">
      <c r="A19" s="32">
        <v>44934</v>
      </c>
      <c r="B19" s="17" t="s">
        <v>157</v>
      </c>
      <c r="C19" s="17" t="e">
        <v>#N/A</v>
      </c>
    </row>
    <row r="20" spans="1:3" ht="15" x14ac:dyDescent="0.25">
      <c r="A20" s="32">
        <v>44935</v>
      </c>
      <c r="B20" s="17" t="s">
        <v>158</v>
      </c>
      <c r="C20" s="17">
        <v>30</v>
      </c>
    </row>
    <row r="21" spans="1:3" ht="15" x14ac:dyDescent="0.25">
      <c r="A21" s="32">
        <v>44936</v>
      </c>
      <c r="B21" s="17" t="s">
        <v>159</v>
      </c>
      <c r="C21" s="17" t="e">
        <v>#N/A</v>
      </c>
    </row>
    <row r="22" spans="1:3" ht="15" x14ac:dyDescent="0.25">
      <c r="B22" s="17" t="s">
        <v>160</v>
      </c>
      <c r="C22" s="25">
        <f t="array" ref="C22">SUM(IFERROR(C12:C21,20))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I12" sqref="I12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176</v>
      </c>
    </row>
    <row r="3" spans="1:14" ht="15" x14ac:dyDescent="0.25">
      <c r="B3" s="1" t="s">
        <v>152</v>
      </c>
    </row>
    <row r="4" spans="1:14" ht="18.75" x14ac:dyDescent="0.3">
      <c r="A4" s="43" t="s">
        <v>53</v>
      </c>
      <c r="B4" s="1"/>
      <c r="C4" s="48" t="s">
        <v>178</v>
      </c>
    </row>
    <row r="5" spans="1:14" ht="18.75" x14ac:dyDescent="0.3">
      <c r="A5" s="43" t="s">
        <v>154</v>
      </c>
      <c r="B5" s="1"/>
      <c r="C5" s="2" t="s">
        <v>179</v>
      </c>
    </row>
    <row r="6" spans="1:14" ht="15" x14ac:dyDescent="0.25">
      <c r="A6" s="3"/>
      <c r="B6" s="1"/>
    </row>
    <row r="8" spans="1:14" ht="23.25" x14ac:dyDescent="0.35">
      <c r="A8" s="18" t="s">
        <v>163</v>
      </c>
      <c r="M8" s="18" t="s">
        <v>164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169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2">
        <f>VLOOKUP(N10,A9:J18,MATCH(N11,A9:J9,0),0)</f>
        <v>95</v>
      </c>
      <c r="D23" s="44"/>
      <c r="F23" s="2">
        <f>MATCH(N11,A9:J9,0)</f>
        <v>3</v>
      </c>
    </row>
    <row r="24" spans="1:14" ht="15" x14ac:dyDescent="0.25">
      <c r="A24" s="7">
        <v>10100</v>
      </c>
      <c r="B24" s="12">
        <v>10104</v>
      </c>
      <c r="C24" s="2">
        <f>VLOOKUP(N10,A9:J18,MATCH(N12,A9:J9,0),0)</f>
        <v>-1</v>
      </c>
    </row>
    <row r="25" spans="1:14" ht="15" x14ac:dyDescent="0.25">
      <c r="A25" s="7">
        <v>10108</v>
      </c>
      <c r="B25" s="12">
        <v>10102</v>
      </c>
      <c r="C25" s="2">
        <f>VLOOKUP(N14,A9:J18,MATCH(N11,A9:J9,0),0)</f>
        <v>160</v>
      </c>
    </row>
    <row r="26" spans="1:14" ht="15" x14ac:dyDescent="0.25">
      <c r="A26" s="7">
        <v>10100</v>
      </c>
      <c r="B26" s="12">
        <v>10106</v>
      </c>
      <c r="C26" s="2">
        <f>VLOOKUP(N10,A9:J18,MATCH(N13,A9:J9,0),0)</f>
        <v>185</v>
      </c>
    </row>
    <row r="27" spans="1:14" ht="15" x14ac:dyDescent="0.25">
      <c r="A27" s="7">
        <v>10108</v>
      </c>
      <c r="B27" s="12">
        <v>10110</v>
      </c>
      <c r="C27" s="2">
        <f>VLOOKUP(N14,A9:J18,MATCH(N15,A9:J9,0),0)</f>
        <v>50</v>
      </c>
    </row>
    <row r="28" spans="1:14" ht="15" x14ac:dyDescent="0.25">
      <c r="A28" s="7">
        <v>10102</v>
      </c>
      <c r="B28" s="12">
        <v>10104</v>
      </c>
      <c r="C28" s="2">
        <f>VLOOKUP(N11,A9:J18,MATCH(N12,A9:J9,0),0)</f>
        <v>-1</v>
      </c>
    </row>
    <row r="29" spans="1:14" ht="15" x14ac:dyDescent="0.25">
      <c r="A29" s="7">
        <v>10106</v>
      </c>
      <c r="B29" s="12">
        <v>10108</v>
      </c>
      <c r="C29" s="2">
        <f>VLOOKUP(N13,A9:J18,MATCH(N14,A9:J9,0),0)</f>
        <v>70</v>
      </c>
    </row>
    <row r="30" spans="1:14" ht="15" x14ac:dyDescent="0.25">
      <c r="A30" s="7">
        <v>10102</v>
      </c>
      <c r="B30" s="12">
        <v>10106</v>
      </c>
      <c r="C30" s="2">
        <f>VLOOKUP(N11,A9:J18,MATCH(N13,A9:J9,0),0)</f>
        <v>90</v>
      </c>
    </row>
    <row r="31" spans="1:14" ht="15" x14ac:dyDescent="0.25">
      <c r="A31" s="7">
        <v>10110</v>
      </c>
      <c r="B31" s="12">
        <v>10114</v>
      </c>
      <c r="C31" s="44">
        <f>VLOOKUP(N15,A9:J18,MATCH(N17,A9:J9,0),0)</f>
        <v>180</v>
      </c>
    </row>
    <row r="32" spans="1:14" ht="15" x14ac:dyDescent="0.25">
      <c r="A32" s="7">
        <v>10104</v>
      </c>
      <c r="B32" s="12">
        <v>10106</v>
      </c>
      <c r="C32" s="44">
        <f>VLOOKUP(N12,A9:J18,MATCH(N13,A9:J9,0),0)</f>
        <v>60</v>
      </c>
    </row>
    <row r="33" spans="1:3" ht="15" x14ac:dyDescent="0.25">
      <c r="A33" s="7">
        <v>10110</v>
      </c>
      <c r="B33" s="12">
        <v>10112</v>
      </c>
      <c r="C33" s="44">
        <f>VLOOKUP(N15,A9:J18,MATCH(N16,A9:J9,0),0)</f>
        <v>115</v>
      </c>
    </row>
    <row r="34" spans="1:3" ht="15" x14ac:dyDescent="0.25">
      <c r="A34" s="7">
        <v>10100</v>
      </c>
      <c r="B34" s="12">
        <v>10114</v>
      </c>
      <c r="C34" s="44">
        <f>VLOOKUP(N10,A9:J18,MATCH(N17,A9:J9,0),0)</f>
        <v>480</v>
      </c>
    </row>
    <row r="35" spans="1:3" ht="15" x14ac:dyDescent="0.25">
      <c r="A35" s="9">
        <v>10112</v>
      </c>
      <c r="B35" s="13">
        <v>10116</v>
      </c>
      <c r="C35" s="45">
        <f>VLOOKUP(N16,A9:J18,MATCH(N18,A9:J9,0),0)</f>
        <v>105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d16294b-7040-47e1-b2e5-64d6dc7364ff}" enabled="1" method="Standard" siteId="{c84d9378-ad95-4040-9258-2ed1ae880de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Venkata Sai Vikas Kotana</cp:lastModifiedBy>
  <dcterms:created xsi:type="dcterms:W3CDTF">2015-02-10T17:33:11Z</dcterms:created>
  <dcterms:modified xsi:type="dcterms:W3CDTF">2023-12-10T18:36:50Z</dcterms:modified>
</cp:coreProperties>
</file>